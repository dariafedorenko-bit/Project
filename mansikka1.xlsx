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ot\Desktop\"/>
    </mc:Choice>
  </mc:AlternateContent>
  <xr:revisionPtr revIDLastSave="0" documentId="13_ncr:1_{962AE8F0-04A9-475A-9BA4-8E44935830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3" i="1" l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<sst xmlns="http://schemas.openxmlformats.org/spreadsheetml/2006/main" count="13" uniqueCount="13">
  <si>
    <t>Päivämäärä</t>
  </si>
  <si>
    <t>Aloitus_pvm</t>
  </si>
  <si>
    <t>Päiviä</t>
  </si>
  <si>
    <t>Sample</t>
  </si>
  <si>
    <t>Brix</t>
  </si>
  <si>
    <t>V_ml</t>
  </si>
  <si>
    <t>m_g</t>
  </si>
  <si>
    <t>h_cm</t>
  </si>
  <si>
    <t>Density_kgperm3</t>
  </si>
  <si>
    <t>P_g</t>
  </si>
  <si>
    <t>L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</si>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</sst>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"/>
  </numFmts>
  <fonts count="2" x14ac:knownFonts="1">
    <font>
      <sz val="11"/>
      <color theme="1"/>
      <name val="Calibri"/>
      <family val="2"/>
      <scheme val="minor"/>
    </font>
    <font>
      <sz val="11"/>
      <color rgb="FF9C000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1" fillId="2" borderId="0" xfId="1"/>
  </cellXfs>
  <cellStyles count="2">
    <cellStyle name="Bad" xfId="1" builtinId="27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"/>
  <sheetViews>
    <sheetView tabSelected="1" workbookViewId="0">
      <selection activeCell="P11" sqref="P11"/>
    </sheetView>
  </sheetViews>
  <sheetFormatPr defaultRowHeight="14.5" x14ac:dyDescent="0.35"/>
  <cols>
    <col min="1" max="1" width="11.7265625" style="1" bestFit="1" customWidth="1"/>
    <col min="2" max="2" width="11.7265625" style="1" customWidth="1"/>
    <col min="3" max="3" width="11.7265625" style="2" customWidth="1"/>
    <col min="4" max="4" width="8.81640625" bestFit="1" customWidth="1"/>
    <col min="5" max="5" width="8.81640625" style="3" bestFit="1" customWidth="1"/>
  </cols>
  <sheetData>
    <row r="1" spans="1:15" x14ac:dyDescent="0.35">
      <c r="A1" s="1" t="s">
        <v>0</v>
      </c>
      <c r="B1" s="1" t="s">
        <v>1</v>
      </c>
      <c r="C1" s="2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5">
      <c r="A2" s="1">
        <v>45784</v>
      </c>
      <c r="B2" s="1">
        <v>45750</v>
      </c>
      <c r="C2" s="2">
        <f>_xlfn.DAYS(A2,B2)</f>
        <v>34</v>
      </c>
      <c r="D2">
        <v>1</v>
      </c>
      <c r="E2" s="4">
        <v>7.9</v>
      </c>
      <c r="F2" s="4">
        <v>15.09</v>
      </c>
      <c r="G2" s="4">
        <v>16.2</v>
      </c>
      <c r="H2" s="4">
        <v>35.9</v>
      </c>
      <c r="I2" s="4">
        <v>1073.32</v>
      </c>
      <c r="J2" s="4">
        <v>187.9</v>
      </c>
      <c r="K2" s="5">
        <v>5.72</v>
      </c>
      <c r="L2" s="5">
        <v>37.4</v>
      </c>
      <c r="M2" s="5">
        <v>5.61</v>
      </c>
    </row>
    <row r="3" spans="1:15" x14ac:dyDescent="0.35">
      <c r="A3" s="1">
        <v>45784</v>
      </c>
      <c r="B3" s="1">
        <v>45750</v>
      </c>
      <c r="C3" s="2">
        <f t="shared" ref="C3:C66" si="0">_xlfn.DAYS(A3,B3)</f>
        <v>34</v>
      </c>
      <c r="D3">
        <v>2</v>
      </c>
      <c r="E3" s="4">
        <v>8.8000000000000007</v>
      </c>
      <c r="F3" s="4">
        <v>20.77</v>
      </c>
      <c r="G3" s="4">
        <v>21.2</v>
      </c>
      <c r="H3" s="4">
        <v>40.4</v>
      </c>
      <c r="I3" s="4">
        <v>1020.95</v>
      </c>
      <c r="J3" s="4">
        <v>100.3</v>
      </c>
      <c r="K3" s="5">
        <v>14.14</v>
      </c>
      <c r="L3" s="5">
        <v>19.61</v>
      </c>
      <c r="M3" s="5">
        <v>18.7</v>
      </c>
    </row>
    <row r="4" spans="1:15" x14ac:dyDescent="0.35">
      <c r="A4" s="1">
        <v>45784</v>
      </c>
      <c r="B4" s="1">
        <v>45750</v>
      </c>
      <c r="C4" s="2">
        <f t="shared" si="0"/>
        <v>34</v>
      </c>
      <c r="D4">
        <v>3</v>
      </c>
      <c r="E4" s="4">
        <v>8.1</v>
      </c>
      <c r="F4" s="4">
        <v>22.9</v>
      </c>
      <c r="G4" s="4">
        <v>23.4</v>
      </c>
      <c r="H4" s="4">
        <v>40.799999999999997</v>
      </c>
      <c r="I4" s="4">
        <v>1021.65</v>
      </c>
      <c r="J4" s="4">
        <v>62</v>
      </c>
      <c r="K4" s="5">
        <v>18.98</v>
      </c>
      <c r="L4" s="5">
        <v>28.03</v>
      </c>
      <c r="M4" s="5">
        <v>21.46</v>
      </c>
    </row>
    <row r="5" spans="1:15" x14ac:dyDescent="0.35">
      <c r="A5" s="1">
        <v>45784</v>
      </c>
      <c r="B5" s="1">
        <v>45750</v>
      </c>
      <c r="C5" s="2">
        <f t="shared" si="0"/>
        <v>34</v>
      </c>
      <c r="D5">
        <v>4</v>
      </c>
      <c r="E5" s="4">
        <v>5</v>
      </c>
      <c r="F5" s="4">
        <v>14.1</v>
      </c>
      <c r="G5" s="4">
        <v>15.6</v>
      </c>
      <c r="H5" s="4">
        <v>31.3</v>
      </c>
      <c r="I5" s="4">
        <v>1106.31</v>
      </c>
      <c r="J5" s="4">
        <v>108.3</v>
      </c>
      <c r="K5" s="5">
        <v>11.91</v>
      </c>
      <c r="L5" s="5">
        <v>21.38</v>
      </c>
      <c r="M5" s="5">
        <v>10.19</v>
      </c>
    </row>
    <row r="6" spans="1:15" x14ac:dyDescent="0.35">
      <c r="A6" s="1">
        <v>45784</v>
      </c>
      <c r="B6" s="1">
        <v>45750</v>
      </c>
      <c r="C6" s="2">
        <f t="shared" si="0"/>
        <v>34</v>
      </c>
      <c r="D6">
        <v>5</v>
      </c>
      <c r="E6" s="4">
        <v>8.3000000000000007</v>
      </c>
      <c r="F6" s="4">
        <v>20.58</v>
      </c>
      <c r="G6" s="4">
        <v>21.7</v>
      </c>
      <c r="H6" s="4">
        <v>35.700000000000003</v>
      </c>
      <c r="I6" s="4">
        <v>1054.4100000000001</v>
      </c>
      <c r="J6" s="4">
        <v>210.1</v>
      </c>
      <c r="K6" s="5">
        <v>23.29</v>
      </c>
      <c r="L6" s="5">
        <v>34.15</v>
      </c>
      <c r="M6" s="5">
        <v>24.57</v>
      </c>
    </row>
    <row r="7" spans="1:15" x14ac:dyDescent="0.35">
      <c r="A7" s="1">
        <v>45784</v>
      </c>
      <c r="B7" s="1">
        <v>45750</v>
      </c>
      <c r="C7" s="2">
        <f t="shared" si="0"/>
        <v>34</v>
      </c>
      <c r="D7">
        <v>6</v>
      </c>
      <c r="E7" s="4">
        <v>6.4</v>
      </c>
      <c r="F7" s="4">
        <v>15.15</v>
      </c>
      <c r="G7" s="4">
        <v>16.100000000000001</v>
      </c>
      <c r="H7" s="4">
        <v>35.299999999999997</v>
      </c>
      <c r="I7" s="4">
        <v>1062.76</v>
      </c>
      <c r="J7" s="4">
        <v>269.60000000000002</v>
      </c>
      <c r="K7" s="5">
        <v>13.52</v>
      </c>
      <c r="L7" s="5">
        <v>19.010000000000002</v>
      </c>
      <c r="M7" s="5">
        <v>15.23</v>
      </c>
      <c r="O7" s="2"/>
    </row>
    <row r="8" spans="1:15" x14ac:dyDescent="0.35">
      <c r="A8" s="1">
        <v>45789</v>
      </c>
      <c r="B8" s="1">
        <v>45750</v>
      </c>
      <c r="C8" s="2">
        <f t="shared" si="0"/>
        <v>39</v>
      </c>
      <c r="D8">
        <v>7</v>
      </c>
      <c r="E8" s="4">
        <v>9.6</v>
      </c>
      <c r="F8" s="4">
        <v>18.21</v>
      </c>
      <c r="G8" s="4">
        <v>17.600000000000001</v>
      </c>
      <c r="H8" s="4">
        <v>37.9</v>
      </c>
      <c r="I8" s="4">
        <v>966.58100000000002</v>
      </c>
      <c r="J8" s="4">
        <v>140.1</v>
      </c>
      <c r="K8" s="5">
        <v>17.559999999999999</v>
      </c>
      <c r="L8" s="5">
        <v>25.53</v>
      </c>
      <c r="M8" s="5">
        <v>14.42</v>
      </c>
      <c r="O8" s="2"/>
    </row>
    <row r="9" spans="1:15" x14ac:dyDescent="0.35">
      <c r="A9" s="1">
        <v>45789</v>
      </c>
      <c r="B9" s="1">
        <v>45750</v>
      </c>
      <c r="C9" s="2">
        <f t="shared" si="0"/>
        <v>39</v>
      </c>
      <c r="D9">
        <v>8</v>
      </c>
      <c r="E9" s="4">
        <v>7.8</v>
      </c>
      <c r="F9" s="4">
        <v>20.2</v>
      </c>
      <c r="G9" s="4">
        <v>18.8</v>
      </c>
      <c r="H9" s="4">
        <v>41.4</v>
      </c>
      <c r="I9" s="4">
        <v>930.84</v>
      </c>
      <c r="J9" s="4">
        <v>96.6</v>
      </c>
      <c r="K9" s="5">
        <v>13.81</v>
      </c>
      <c r="L9" s="5">
        <v>16.559999999999999</v>
      </c>
      <c r="M9" s="5">
        <v>17.829999999999998</v>
      </c>
      <c r="O9" s="2"/>
    </row>
    <row r="10" spans="1:15" x14ac:dyDescent="0.35">
      <c r="A10" s="1">
        <v>45789</v>
      </c>
      <c r="B10" s="1">
        <v>45750</v>
      </c>
      <c r="C10" s="2">
        <f t="shared" si="0"/>
        <v>39</v>
      </c>
      <c r="D10">
        <v>9</v>
      </c>
      <c r="E10" s="4">
        <v>6.9</v>
      </c>
      <c r="F10" s="4">
        <v>19</v>
      </c>
      <c r="G10" s="4">
        <v>18.8</v>
      </c>
      <c r="H10" s="4">
        <v>39</v>
      </c>
      <c r="I10" s="4">
        <v>989.46</v>
      </c>
      <c r="J10" s="4">
        <v>89.1</v>
      </c>
      <c r="K10" s="5">
        <v>11.25</v>
      </c>
      <c r="L10" s="5">
        <v>18.399999999999999</v>
      </c>
      <c r="M10" s="5">
        <v>13.19</v>
      </c>
      <c r="O10" s="2"/>
    </row>
    <row r="11" spans="1:15" x14ac:dyDescent="0.35">
      <c r="A11" s="1">
        <v>45789</v>
      </c>
      <c r="B11" s="1">
        <v>45750</v>
      </c>
      <c r="C11" s="2">
        <f t="shared" si="0"/>
        <v>39</v>
      </c>
      <c r="D11">
        <v>10</v>
      </c>
      <c r="E11" s="4">
        <v>12.2</v>
      </c>
      <c r="F11" s="4">
        <v>23.26</v>
      </c>
      <c r="G11" s="4">
        <v>18.8</v>
      </c>
      <c r="H11" s="4">
        <v>45.2</v>
      </c>
      <c r="I11" s="4">
        <v>808.28700000000003</v>
      </c>
      <c r="J11" s="4">
        <v>86.6</v>
      </c>
      <c r="K11" s="5">
        <v>11.68</v>
      </c>
      <c r="L11" s="5">
        <v>14.29</v>
      </c>
      <c r="M11" s="5">
        <v>15.04</v>
      </c>
      <c r="O11" s="2"/>
    </row>
    <row r="12" spans="1:15" x14ac:dyDescent="0.35">
      <c r="A12" s="1">
        <v>45789</v>
      </c>
      <c r="B12" s="1">
        <v>45750</v>
      </c>
      <c r="C12" s="2">
        <f t="shared" si="0"/>
        <v>39</v>
      </c>
      <c r="D12">
        <v>11</v>
      </c>
      <c r="E12" s="4">
        <v>7.2</v>
      </c>
      <c r="F12" s="4">
        <v>13.05</v>
      </c>
      <c r="G12" s="4">
        <v>18.8</v>
      </c>
      <c r="H12" s="4">
        <v>32.5</v>
      </c>
      <c r="I12" s="4">
        <v>1440.46</v>
      </c>
      <c r="J12" s="4">
        <v>123.7</v>
      </c>
      <c r="K12" s="5">
        <v>10.64</v>
      </c>
      <c r="L12" s="5">
        <v>26.9</v>
      </c>
      <c r="M12" s="5">
        <v>9.51</v>
      </c>
      <c r="O12" s="2"/>
    </row>
    <row r="13" spans="1:15" x14ac:dyDescent="0.35">
      <c r="A13" s="1">
        <v>45789</v>
      </c>
      <c r="B13" s="1">
        <v>45750</v>
      </c>
      <c r="C13" s="2">
        <f t="shared" si="0"/>
        <v>39</v>
      </c>
      <c r="D13">
        <v>12</v>
      </c>
      <c r="E13" s="4">
        <v>9.5</v>
      </c>
      <c r="F13" s="4">
        <v>21.01</v>
      </c>
      <c r="G13" s="4">
        <v>20.5</v>
      </c>
      <c r="H13" s="4">
        <v>41</v>
      </c>
      <c r="I13" s="4">
        <v>975.75800000000004</v>
      </c>
      <c r="J13" s="4">
        <v>158</v>
      </c>
      <c r="K13" s="5">
        <v>14.6</v>
      </c>
      <c r="L13" s="5">
        <v>18.66</v>
      </c>
      <c r="M13" s="5">
        <v>16.41</v>
      </c>
      <c r="O13" s="2"/>
    </row>
    <row r="14" spans="1:15" x14ac:dyDescent="0.35">
      <c r="A14" s="1">
        <v>45797</v>
      </c>
      <c r="B14" s="1">
        <v>45750</v>
      </c>
      <c r="C14" s="2">
        <f t="shared" si="0"/>
        <v>47</v>
      </c>
      <c r="D14">
        <v>13</v>
      </c>
      <c r="E14" s="4">
        <v>9.5</v>
      </c>
      <c r="F14" s="4">
        <v>25.6</v>
      </c>
      <c r="G14" s="4">
        <v>23.6</v>
      </c>
      <c r="H14" s="4">
        <v>40.6</v>
      </c>
      <c r="I14" s="4">
        <v>922.04600000000005</v>
      </c>
      <c r="J14" s="4">
        <v>134.1</v>
      </c>
      <c r="K14">
        <v>35.15</v>
      </c>
      <c r="L14">
        <v>41.01</v>
      </c>
      <c r="M14">
        <v>18.079999999999998</v>
      </c>
      <c r="O14" s="2"/>
    </row>
    <row r="15" spans="1:15" x14ac:dyDescent="0.35">
      <c r="A15" s="1">
        <v>45797</v>
      </c>
      <c r="B15" s="1">
        <v>45750</v>
      </c>
      <c r="C15" s="2">
        <f t="shared" si="0"/>
        <v>47</v>
      </c>
      <c r="D15">
        <v>14</v>
      </c>
      <c r="E15" s="4">
        <v>11.1</v>
      </c>
      <c r="F15" s="4">
        <v>13.67</v>
      </c>
      <c r="G15" s="4">
        <v>13.2</v>
      </c>
      <c r="H15" s="4">
        <v>39.4</v>
      </c>
      <c r="I15" s="4">
        <v>965.55600000000004</v>
      </c>
      <c r="J15" s="4">
        <v>55.1</v>
      </c>
      <c r="K15">
        <v>41.09</v>
      </c>
      <c r="L15">
        <v>47.09</v>
      </c>
      <c r="M15">
        <v>27.52</v>
      </c>
      <c r="O15" s="2"/>
    </row>
    <row r="16" spans="1:15" x14ac:dyDescent="0.35">
      <c r="A16" s="1">
        <v>45797</v>
      </c>
      <c r="B16" s="1">
        <v>45750</v>
      </c>
      <c r="C16" s="2">
        <f t="shared" si="0"/>
        <v>47</v>
      </c>
      <c r="D16">
        <v>15</v>
      </c>
      <c r="E16" s="4">
        <v>10.199999999999999</v>
      </c>
      <c r="F16" s="4">
        <v>20.010000000000002</v>
      </c>
      <c r="G16" s="4">
        <v>19.399999999999999</v>
      </c>
      <c r="H16" s="4">
        <v>43.1</v>
      </c>
      <c r="I16" s="4">
        <v>969.70600000000002</v>
      </c>
      <c r="J16" s="4">
        <v>80.3</v>
      </c>
      <c r="K16">
        <v>32.19</v>
      </c>
      <c r="L16">
        <v>37.880000000000003</v>
      </c>
      <c r="M16">
        <v>17.7</v>
      </c>
      <c r="O16" s="2"/>
    </row>
    <row r="17" spans="1:15" x14ac:dyDescent="0.35">
      <c r="A17" s="1">
        <v>45797</v>
      </c>
      <c r="B17" s="1">
        <v>45750</v>
      </c>
      <c r="C17" s="2">
        <f t="shared" si="0"/>
        <v>47</v>
      </c>
      <c r="D17">
        <v>16</v>
      </c>
      <c r="E17" s="4">
        <v>9.6999999999999993</v>
      </c>
      <c r="F17" s="4">
        <v>14.3</v>
      </c>
      <c r="G17" s="4">
        <v>13.9</v>
      </c>
      <c r="H17" s="4">
        <v>35.799999999999997</v>
      </c>
      <c r="I17" s="4">
        <v>971.94299999999998</v>
      </c>
      <c r="J17" s="4">
        <v>86.6</v>
      </c>
      <c r="K17">
        <v>30.37</v>
      </c>
      <c r="L17">
        <v>38.24</v>
      </c>
      <c r="M17">
        <v>19.22</v>
      </c>
      <c r="O17" s="2"/>
    </row>
    <row r="18" spans="1:15" x14ac:dyDescent="0.35">
      <c r="A18" s="1">
        <v>45797</v>
      </c>
      <c r="B18" s="1">
        <v>45750</v>
      </c>
      <c r="C18" s="2">
        <f t="shared" si="0"/>
        <v>47</v>
      </c>
      <c r="D18">
        <v>17</v>
      </c>
      <c r="E18" s="4">
        <v>4.7</v>
      </c>
      <c r="F18" s="4">
        <v>13.74</v>
      </c>
      <c r="G18" s="4">
        <v>14.4</v>
      </c>
      <c r="H18" s="4">
        <v>36.799999999999997</v>
      </c>
      <c r="I18" s="4">
        <v>1047.9100000000001</v>
      </c>
      <c r="J18" s="4">
        <v>90.9</v>
      </c>
      <c r="K18">
        <v>33.979999999999997</v>
      </c>
      <c r="L18">
        <v>41.17</v>
      </c>
      <c r="M18">
        <v>21.1</v>
      </c>
      <c r="O18" s="2"/>
    </row>
    <row r="19" spans="1:15" x14ac:dyDescent="0.35">
      <c r="A19" s="1">
        <v>45797</v>
      </c>
      <c r="B19" s="1">
        <v>45750</v>
      </c>
      <c r="C19" s="2">
        <f t="shared" si="0"/>
        <v>47</v>
      </c>
      <c r="D19">
        <v>18</v>
      </c>
      <c r="E19" s="4">
        <v>6.9</v>
      </c>
      <c r="F19" s="4">
        <v>25.06</v>
      </c>
      <c r="G19" s="4">
        <v>24.9</v>
      </c>
      <c r="H19" s="4">
        <v>45.2</v>
      </c>
      <c r="I19" s="4">
        <v>993.62400000000002</v>
      </c>
      <c r="J19" s="4">
        <v>134.80000000000001</v>
      </c>
      <c r="K19">
        <v>25.25</v>
      </c>
      <c r="L19">
        <v>34.21</v>
      </c>
      <c r="M19">
        <v>17.010000000000002</v>
      </c>
      <c r="O19" s="2"/>
    </row>
    <row r="20" spans="1:15" x14ac:dyDescent="0.35">
      <c r="A20" s="1">
        <v>45805</v>
      </c>
      <c r="B20" s="1">
        <v>45750</v>
      </c>
      <c r="C20" s="2">
        <f t="shared" si="0"/>
        <v>55</v>
      </c>
      <c r="D20">
        <v>19</v>
      </c>
      <c r="E20" s="4">
        <v>9.1</v>
      </c>
      <c r="F20" s="4">
        <v>24.23</v>
      </c>
      <c r="G20" s="4">
        <v>23.9</v>
      </c>
      <c r="H20" s="4">
        <v>43.1</v>
      </c>
      <c r="I20" s="4">
        <v>986.39300000000003</v>
      </c>
      <c r="J20" s="4">
        <v>124.9</v>
      </c>
      <c r="K20">
        <v>39.56</v>
      </c>
      <c r="L20">
        <v>43.22</v>
      </c>
      <c r="M20">
        <v>22.2</v>
      </c>
      <c r="O20" s="2"/>
    </row>
    <row r="21" spans="1:15" x14ac:dyDescent="0.35">
      <c r="A21" s="1">
        <v>45805</v>
      </c>
      <c r="B21" s="1">
        <v>45750</v>
      </c>
      <c r="C21" s="2">
        <f t="shared" si="0"/>
        <v>55</v>
      </c>
      <c r="D21">
        <v>20</v>
      </c>
      <c r="E21" s="4">
        <v>8.5</v>
      </c>
      <c r="F21" s="4">
        <v>16.579999999999998</v>
      </c>
      <c r="G21" s="4">
        <v>15.8</v>
      </c>
      <c r="H21" s="4">
        <v>37.9</v>
      </c>
      <c r="I21" s="4">
        <v>952.68499999999995</v>
      </c>
      <c r="J21" s="4">
        <v>69.400000000000006</v>
      </c>
      <c r="K21">
        <v>32.47</v>
      </c>
      <c r="L21">
        <v>40.69</v>
      </c>
      <c r="M21">
        <v>19.73</v>
      </c>
      <c r="O21" s="2"/>
    </row>
    <row r="22" spans="1:15" x14ac:dyDescent="0.35">
      <c r="A22" s="1">
        <v>45805</v>
      </c>
      <c r="B22" s="1">
        <v>45750</v>
      </c>
      <c r="C22" s="2">
        <f t="shared" si="0"/>
        <v>55</v>
      </c>
      <c r="D22">
        <v>21</v>
      </c>
      <c r="E22" s="4">
        <v>12.4</v>
      </c>
      <c r="F22" s="4">
        <v>20.47</v>
      </c>
      <c r="G22" s="4">
        <v>20.399999999999999</v>
      </c>
      <c r="H22" s="4">
        <v>41.9</v>
      </c>
      <c r="I22" s="4">
        <v>996.59100000000001</v>
      </c>
      <c r="J22" s="4">
        <v>132.69999999999999</v>
      </c>
      <c r="K22">
        <v>32.99</v>
      </c>
      <c r="L22">
        <v>39.270000000000003</v>
      </c>
      <c r="M22">
        <v>18.8</v>
      </c>
      <c r="O22" s="2"/>
    </row>
    <row r="23" spans="1:15" x14ac:dyDescent="0.35">
      <c r="A23" s="1">
        <v>45805</v>
      </c>
      <c r="B23" s="1">
        <v>45750</v>
      </c>
      <c r="C23" s="2">
        <f t="shared" si="0"/>
        <v>55</v>
      </c>
      <c r="D23">
        <v>22</v>
      </c>
      <c r="E23" s="4">
        <v>9</v>
      </c>
      <c r="F23" s="4">
        <v>14.64</v>
      </c>
      <c r="G23" s="4">
        <v>15.9</v>
      </c>
      <c r="H23" s="4">
        <v>37.6</v>
      </c>
      <c r="I23" s="4">
        <v>1086.32</v>
      </c>
      <c r="J23" s="4">
        <v>96.3</v>
      </c>
      <c r="K23">
        <v>39.909999999999997</v>
      </c>
      <c r="L23">
        <v>44.23</v>
      </c>
      <c r="M23">
        <v>23.09</v>
      </c>
      <c r="O23" s="2"/>
    </row>
    <row r="24" spans="1:15" x14ac:dyDescent="0.35">
      <c r="A24" s="1">
        <v>45805</v>
      </c>
      <c r="B24" s="1">
        <v>45750</v>
      </c>
      <c r="C24" s="2">
        <f t="shared" si="0"/>
        <v>55</v>
      </c>
      <c r="D24">
        <v>23</v>
      </c>
      <c r="E24" s="4">
        <v>6.7</v>
      </c>
      <c r="F24" s="4">
        <v>18.27</v>
      </c>
      <c r="G24" s="4">
        <v>18.7</v>
      </c>
      <c r="H24" s="4">
        <v>34.200000000000003</v>
      </c>
      <c r="I24" s="4">
        <v>1023.71</v>
      </c>
      <c r="J24" s="4">
        <v>94.1</v>
      </c>
      <c r="K24">
        <v>37.54</v>
      </c>
      <c r="L24">
        <v>42.71</v>
      </c>
      <c r="M24">
        <v>21.97</v>
      </c>
      <c r="O24" s="2"/>
    </row>
    <row r="25" spans="1:15" x14ac:dyDescent="0.35">
      <c r="A25" s="1">
        <v>45805</v>
      </c>
      <c r="B25" s="1">
        <v>45750</v>
      </c>
      <c r="C25" s="2">
        <f t="shared" si="0"/>
        <v>55</v>
      </c>
      <c r="D25">
        <v>24</v>
      </c>
      <c r="E25" s="4">
        <v>8.1999999999999993</v>
      </c>
      <c r="F25" s="4">
        <v>10.19</v>
      </c>
      <c r="G25" s="4">
        <v>11.3</v>
      </c>
      <c r="H25" s="4">
        <v>37.200000000000003</v>
      </c>
      <c r="I25" s="4">
        <v>1109.31</v>
      </c>
      <c r="J25" s="4">
        <v>77.3</v>
      </c>
      <c r="K25">
        <v>37.44</v>
      </c>
      <c r="L25">
        <v>34.58</v>
      </c>
      <c r="M25">
        <v>10.58</v>
      </c>
      <c r="O25" s="2"/>
    </row>
    <row r="26" spans="1:15" x14ac:dyDescent="0.35">
      <c r="A26" s="1">
        <v>45812</v>
      </c>
      <c r="B26" s="1">
        <v>45750</v>
      </c>
      <c r="C26" s="2">
        <f t="shared" si="0"/>
        <v>62</v>
      </c>
      <c r="D26">
        <v>25</v>
      </c>
      <c r="E26" s="4">
        <v>7</v>
      </c>
      <c r="F26" s="4">
        <v>6.6</v>
      </c>
      <c r="G26" s="4">
        <v>6.8</v>
      </c>
      <c r="H26" s="4">
        <v>27.2</v>
      </c>
      <c r="I26" s="4">
        <v>1030.18</v>
      </c>
      <c r="J26" s="4">
        <v>83.1</v>
      </c>
      <c r="K26">
        <v>36.24</v>
      </c>
      <c r="L26">
        <v>42.02</v>
      </c>
      <c r="M26">
        <v>22.73</v>
      </c>
      <c r="O26" s="2"/>
    </row>
    <row r="27" spans="1:15" x14ac:dyDescent="0.35">
      <c r="A27" s="1">
        <v>45812</v>
      </c>
      <c r="B27" s="1">
        <v>45750</v>
      </c>
      <c r="C27" s="2">
        <f t="shared" si="0"/>
        <v>62</v>
      </c>
      <c r="D27">
        <v>26</v>
      </c>
      <c r="E27" s="4">
        <v>6.4</v>
      </c>
      <c r="F27" s="4">
        <v>7.66</v>
      </c>
      <c r="G27" s="4">
        <v>8.6999999999999993</v>
      </c>
      <c r="H27" s="4">
        <v>30.3</v>
      </c>
      <c r="I27" s="4">
        <v>1136.49</v>
      </c>
      <c r="J27" s="4">
        <v>118.7</v>
      </c>
      <c r="K27">
        <v>33.75</v>
      </c>
      <c r="L27">
        <v>44.06</v>
      </c>
      <c r="M27">
        <v>23.13</v>
      </c>
      <c r="O27" s="2"/>
    </row>
    <row r="28" spans="1:15" x14ac:dyDescent="0.35">
      <c r="A28" s="1">
        <v>45812</v>
      </c>
      <c r="B28" s="1">
        <v>45750</v>
      </c>
      <c r="C28" s="2">
        <f t="shared" si="0"/>
        <v>62</v>
      </c>
      <c r="D28">
        <v>27</v>
      </c>
      <c r="E28" s="4">
        <v>9.4</v>
      </c>
      <c r="F28" s="4">
        <v>19.41</v>
      </c>
      <c r="G28" s="4">
        <v>20</v>
      </c>
      <c r="H28" s="4">
        <v>43.3</v>
      </c>
      <c r="I28" s="4">
        <v>1030.28</v>
      </c>
      <c r="J28" s="4">
        <v>113.1</v>
      </c>
      <c r="K28">
        <v>40.21</v>
      </c>
      <c r="L28">
        <v>43.19</v>
      </c>
      <c r="M28">
        <v>19.54</v>
      </c>
    </row>
    <row r="29" spans="1:15" x14ac:dyDescent="0.35">
      <c r="A29" s="1">
        <v>45812</v>
      </c>
      <c r="B29" s="1">
        <v>45750</v>
      </c>
      <c r="C29" s="2">
        <f t="shared" si="0"/>
        <v>62</v>
      </c>
      <c r="D29">
        <v>28</v>
      </c>
      <c r="E29" s="4">
        <v>10</v>
      </c>
      <c r="F29" s="4">
        <v>19.010000000000002</v>
      </c>
      <c r="G29" s="4">
        <v>20.2</v>
      </c>
      <c r="H29" s="4">
        <v>42.6</v>
      </c>
      <c r="I29" s="4">
        <v>1062.56</v>
      </c>
      <c r="J29" s="4">
        <v>63.4</v>
      </c>
      <c r="K29">
        <v>38.83</v>
      </c>
      <c r="L29">
        <v>42.02</v>
      </c>
      <c r="M29">
        <v>17.649999999999999</v>
      </c>
    </row>
    <row r="30" spans="1:15" x14ac:dyDescent="0.35">
      <c r="A30" s="1">
        <v>45812</v>
      </c>
      <c r="B30" s="1">
        <v>45750</v>
      </c>
      <c r="C30" s="2">
        <f t="shared" si="0"/>
        <v>62</v>
      </c>
      <c r="D30">
        <v>29</v>
      </c>
      <c r="E30" s="4">
        <v>10.6</v>
      </c>
      <c r="F30" s="4">
        <v>19.45</v>
      </c>
      <c r="G30" s="4">
        <v>19.5</v>
      </c>
      <c r="H30" s="4">
        <v>38.4</v>
      </c>
      <c r="I30" s="4">
        <v>1002.57</v>
      </c>
      <c r="J30" s="4">
        <v>85.2</v>
      </c>
      <c r="K30">
        <v>38.950000000000003</v>
      </c>
      <c r="L30">
        <v>43.18</v>
      </c>
      <c r="M30">
        <v>20.56</v>
      </c>
    </row>
    <row r="31" spans="1:15" x14ac:dyDescent="0.35">
      <c r="A31" s="1">
        <v>45812</v>
      </c>
      <c r="B31" s="1">
        <v>45750</v>
      </c>
      <c r="C31" s="2">
        <f t="shared" si="0"/>
        <v>62</v>
      </c>
      <c r="D31">
        <v>30</v>
      </c>
      <c r="E31" s="4">
        <v>9.6</v>
      </c>
      <c r="F31" s="4">
        <v>22.97</v>
      </c>
      <c r="G31" s="4">
        <v>23.9</v>
      </c>
      <c r="H31" s="4">
        <v>43.1</v>
      </c>
      <c r="I31" s="4">
        <v>1040.52</v>
      </c>
      <c r="J31" s="4">
        <v>152.5</v>
      </c>
      <c r="K31">
        <v>39.93</v>
      </c>
      <c r="L31">
        <v>42.86</v>
      </c>
      <c r="M31">
        <v>24.31</v>
      </c>
    </row>
    <row r="32" spans="1:15" x14ac:dyDescent="0.35">
      <c r="A32" s="1">
        <v>45812</v>
      </c>
      <c r="B32" s="1">
        <v>45750</v>
      </c>
      <c r="C32" s="2">
        <f t="shared" si="0"/>
        <v>62</v>
      </c>
      <c r="D32">
        <v>31</v>
      </c>
      <c r="E32" s="4">
        <v>8.1999999999999993</v>
      </c>
      <c r="F32" s="4">
        <v>33.270000000000003</v>
      </c>
      <c r="G32" s="4">
        <v>33.1</v>
      </c>
      <c r="H32" s="4">
        <v>47.3</v>
      </c>
      <c r="I32" s="4">
        <v>994.928</v>
      </c>
      <c r="J32" s="4">
        <v>110.9</v>
      </c>
      <c r="K32">
        <v>42.84</v>
      </c>
      <c r="L32">
        <v>44.6</v>
      </c>
      <c r="M32">
        <v>20.29</v>
      </c>
    </row>
    <row r="33" spans="1:13" x14ac:dyDescent="0.35">
      <c r="A33" s="1">
        <v>45812</v>
      </c>
      <c r="B33" s="1">
        <v>45750</v>
      </c>
      <c r="C33" s="2">
        <f t="shared" si="0"/>
        <v>62</v>
      </c>
      <c r="D33">
        <v>32</v>
      </c>
      <c r="E33" s="4">
        <v>6.8</v>
      </c>
      <c r="F33" s="4">
        <v>31.6</v>
      </c>
      <c r="G33" s="4">
        <v>31.5</v>
      </c>
      <c r="H33" s="4">
        <v>52.6</v>
      </c>
      <c r="I33" s="4">
        <v>996.86</v>
      </c>
      <c r="J33" s="4">
        <v>92.2</v>
      </c>
      <c r="K33">
        <v>42.7</v>
      </c>
      <c r="L33">
        <v>44.23</v>
      </c>
      <c r="M33">
        <v>19.21</v>
      </c>
    </row>
    <row r="34" spans="1:13" x14ac:dyDescent="0.35">
      <c r="A34" s="1">
        <v>45820</v>
      </c>
      <c r="B34" s="1">
        <v>45750</v>
      </c>
      <c r="C34" s="2">
        <f t="shared" si="0"/>
        <v>70</v>
      </c>
      <c r="D34">
        <v>33</v>
      </c>
      <c r="E34" s="4">
        <v>7.5</v>
      </c>
      <c r="F34" s="4">
        <v>14.92</v>
      </c>
      <c r="G34" s="4">
        <v>14.7</v>
      </c>
      <c r="H34" s="4">
        <v>38.299999999999997</v>
      </c>
      <c r="I34" s="4">
        <v>985.14099999999996</v>
      </c>
      <c r="J34" s="4">
        <v>120.9</v>
      </c>
      <c r="K34">
        <v>38.909999999999997</v>
      </c>
      <c r="L34">
        <v>44.26</v>
      </c>
      <c r="M34">
        <v>18.63</v>
      </c>
    </row>
    <row r="35" spans="1:13" x14ac:dyDescent="0.35">
      <c r="A35" s="1">
        <v>45820</v>
      </c>
      <c r="B35" s="1">
        <v>45750</v>
      </c>
      <c r="C35" s="2">
        <f t="shared" si="0"/>
        <v>70</v>
      </c>
      <c r="D35">
        <v>34</v>
      </c>
      <c r="E35" s="4">
        <v>11.4</v>
      </c>
      <c r="F35" s="4">
        <v>19.03</v>
      </c>
      <c r="G35" s="4">
        <v>18.2</v>
      </c>
      <c r="H35" s="4">
        <v>36.9</v>
      </c>
      <c r="I35" s="4">
        <v>956.41099999999994</v>
      </c>
      <c r="J35" s="4">
        <v>111.3</v>
      </c>
      <c r="K35">
        <v>40.159999999999997</v>
      </c>
      <c r="L35">
        <v>42.62</v>
      </c>
      <c r="M35">
        <v>17.53</v>
      </c>
    </row>
    <row r="36" spans="1:13" x14ac:dyDescent="0.35">
      <c r="A36" s="1">
        <v>45820</v>
      </c>
      <c r="B36" s="1">
        <v>45750</v>
      </c>
      <c r="C36" s="2">
        <f t="shared" si="0"/>
        <v>70</v>
      </c>
      <c r="D36">
        <v>35</v>
      </c>
      <c r="E36" s="4">
        <v>5.8</v>
      </c>
      <c r="F36" s="4">
        <v>19.96</v>
      </c>
      <c r="G36" s="4">
        <v>19.5</v>
      </c>
      <c r="H36" s="4">
        <v>38.5</v>
      </c>
      <c r="I36" s="4">
        <v>977.04399999999998</v>
      </c>
      <c r="J36" s="4">
        <v>83.3</v>
      </c>
      <c r="K36">
        <v>39.71</v>
      </c>
      <c r="L36">
        <v>45.11</v>
      </c>
      <c r="M36">
        <v>22.68</v>
      </c>
    </row>
    <row r="37" spans="1:13" x14ac:dyDescent="0.35">
      <c r="A37" s="1">
        <v>45820</v>
      </c>
      <c r="B37" s="1">
        <v>45750</v>
      </c>
      <c r="C37" s="2">
        <f t="shared" si="0"/>
        <v>70</v>
      </c>
      <c r="D37">
        <v>36</v>
      </c>
      <c r="E37" s="4">
        <v>6.5</v>
      </c>
      <c r="F37" s="4">
        <v>24.41</v>
      </c>
      <c r="G37" s="4">
        <v>24.9</v>
      </c>
      <c r="H37" s="4">
        <v>44.4</v>
      </c>
      <c r="I37" s="4">
        <v>1019.97</v>
      </c>
      <c r="J37" s="4">
        <v>107.9</v>
      </c>
      <c r="K37">
        <v>35.58</v>
      </c>
      <c r="L37">
        <v>43.23</v>
      </c>
      <c r="M37">
        <v>23.05</v>
      </c>
    </row>
    <row r="38" spans="1:13" x14ac:dyDescent="0.35">
      <c r="A38" s="1">
        <v>45820</v>
      </c>
      <c r="B38" s="1">
        <v>45750</v>
      </c>
      <c r="C38" s="2">
        <f t="shared" si="0"/>
        <v>70</v>
      </c>
      <c r="D38">
        <v>37</v>
      </c>
      <c r="E38" s="4">
        <v>8.6999999999999993</v>
      </c>
      <c r="F38" s="4">
        <v>25.39</v>
      </c>
      <c r="G38" s="4">
        <v>25.2</v>
      </c>
      <c r="H38" s="4">
        <v>47.6</v>
      </c>
      <c r="I38" s="4">
        <v>992.62800000000004</v>
      </c>
      <c r="J38" s="4">
        <v>89.8</v>
      </c>
      <c r="K38">
        <v>39.369999999999997</v>
      </c>
      <c r="L38">
        <v>43.57</v>
      </c>
      <c r="M38">
        <v>19.62</v>
      </c>
    </row>
    <row r="39" spans="1:13" x14ac:dyDescent="0.35">
      <c r="A39" s="1">
        <v>45820</v>
      </c>
      <c r="B39" s="1">
        <v>45750</v>
      </c>
      <c r="C39" s="2">
        <f t="shared" si="0"/>
        <v>70</v>
      </c>
      <c r="D39">
        <v>38</v>
      </c>
      <c r="E39" s="4">
        <v>8.3000000000000007</v>
      </c>
      <c r="F39" s="4">
        <v>27.07</v>
      </c>
      <c r="G39" s="4">
        <v>26.3</v>
      </c>
      <c r="H39" s="4">
        <v>46.9</v>
      </c>
      <c r="I39" s="4">
        <v>971.63099999999997</v>
      </c>
      <c r="J39" s="4">
        <v>85.5</v>
      </c>
      <c r="K39">
        <v>38.25</v>
      </c>
      <c r="L39">
        <v>44.27</v>
      </c>
      <c r="M39">
        <v>18.940000000000001</v>
      </c>
    </row>
    <row r="40" spans="1:13" x14ac:dyDescent="0.35">
      <c r="A40" s="1">
        <v>45826</v>
      </c>
      <c r="B40" s="1">
        <v>45750</v>
      </c>
      <c r="C40" s="2">
        <f t="shared" si="0"/>
        <v>76</v>
      </c>
      <c r="D40">
        <v>39</v>
      </c>
      <c r="E40" s="4">
        <v>7.9</v>
      </c>
      <c r="F40" s="4">
        <v>18.809999999999999</v>
      </c>
      <c r="G40" s="4">
        <v>18.100000000000001</v>
      </c>
      <c r="H40" s="4">
        <v>44.5</v>
      </c>
      <c r="I40" s="4">
        <v>962.16600000000005</v>
      </c>
      <c r="J40" s="4">
        <v>154.6</v>
      </c>
      <c r="K40">
        <v>41.5</v>
      </c>
      <c r="L40">
        <v>45.83</v>
      </c>
      <c r="M40">
        <v>23.13</v>
      </c>
    </row>
    <row r="41" spans="1:13" x14ac:dyDescent="0.35">
      <c r="A41" s="1">
        <v>45826</v>
      </c>
      <c r="B41" s="1">
        <v>45750</v>
      </c>
      <c r="C41" s="2">
        <f t="shared" si="0"/>
        <v>76</v>
      </c>
      <c r="D41">
        <v>40</v>
      </c>
      <c r="E41" s="4">
        <v>6.3</v>
      </c>
      <c r="F41" s="4">
        <v>21.94</v>
      </c>
      <c r="G41" s="4">
        <v>22.1</v>
      </c>
      <c r="H41" s="4">
        <v>45.4</v>
      </c>
      <c r="I41" s="4">
        <v>1007.47</v>
      </c>
      <c r="J41" s="4">
        <v>64.2</v>
      </c>
      <c r="K41">
        <v>43.39</v>
      </c>
      <c r="L41">
        <v>40.64</v>
      </c>
      <c r="M41">
        <v>15.97</v>
      </c>
    </row>
    <row r="42" spans="1:13" x14ac:dyDescent="0.35">
      <c r="A42" s="1">
        <v>45826</v>
      </c>
      <c r="B42" s="1">
        <v>45750</v>
      </c>
      <c r="C42" s="2">
        <f t="shared" si="0"/>
        <v>76</v>
      </c>
      <c r="D42">
        <v>41</v>
      </c>
      <c r="E42" s="4">
        <v>7.2</v>
      </c>
      <c r="F42" s="4">
        <v>17.3</v>
      </c>
      <c r="G42" s="4">
        <v>18.3</v>
      </c>
      <c r="H42" s="4">
        <v>42.3</v>
      </c>
      <c r="I42" s="4">
        <v>1058.03</v>
      </c>
      <c r="J42" s="4">
        <v>87.7</v>
      </c>
      <c r="K42">
        <v>44.64</v>
      </c>
      <c r="L42">
        <v>46.17</v>
      </c>
      <c r="M42">
        <v>23.62</v>
      </c>
    </row>
    <row r="43" spans="1:13" x14ac:dyDescent="0.35">
      <c r="A43" s="1">
        <v>45826</v>
      </c>
      <c r="B43" s="1">
        <v>45750</v>
      </c>
      <c r="C43" s="2">
        <f t="shared" si="0"/>
        <v>76</v>
      </c>
      <c r="D43">
        <v>42</v>
      </c>
      <c r="E43" s="4">
        <v>8.4</v>
      </c>
      <c r="F43" s="4">
        <v>22.31</v>
      </c>
      <c r="G43" s="4">
        <v>23.5</v>
      </c>
      <c r="H43" s="4">
        <v>45.3</v>
      </c>
      <c r="I43" s="4">
        <v>1053.44</v>
      </c>
      <c r="J43" s="4">
        <v>85.6</v>
      </c>
      <c r="K43">
        <v>41.49</v>
      </c>
      <c r="L43">
        <v>43.71</v>
      </c>
      <c r="M43">
        <v>20.51</v>
      </c>
    </row>
    <row r="44" spans="1:13" x14ac:dyDescent="0.35">
      <c r="A44" s="1">
        <v>45826</v>
      </c>
      <c r="B44" s="1">
        <v>45750</v>
      </c>
      <c r="C44" s="2">
        <f t="shared" si="0"/>
        <v>76</v>
      </c>
      <c r="D44">
        <v>43</v>
      </c>
      <c r="E44" s="4">
        <v>10.7</v>
      </c>
      <c r="F44" s="4">
        <v>25.09</v>
      </c>
      <c r="G44" s="4">
        <v>24.5</v>
      </c>
      <c r="H44" s="4">
        <v>47</v>
      </c>
      <c r="I44" s="4">
        <v>976.495</v>
      </c>
      <c r="J44" s="4">
        <v>127.3</v>
      </c>
      <c r="K44">
        <v>40.67</v>
      </c>
      <c r="L44">
        <v>46.62</v>
      </c>
      <c r="M44">
        <v>23.31</v>
      </c>
    </row>
    <row r="45" spans="1:13" x14ac:dyDescent="0.35">
      <c r="A45" s="1">
        <v>45826</v>
      </c>
      <c r="B45" s="1">
        <v>45750</v>
      </c>
      <c r="C45" s="2">
        <f t="shared" si="0"/>
        <v>76</v>
      </c>
      <c r="D45">
        <v>44</v>
      </c>
      <c r="E45" s="4">
        <v>9.1</v>
      </c>
      <c r="F45" s="4">
        <v>31.01</v>
      </c>
      <c r="G45" s="4">
        <v>30.7</v>
      </c>
      <c r="H45" s="4">
        <v>52.7</v>
      </c>
      <c r="I45" s="4">
        <v>990.06799999999998</v>
      </c>
      <c r="J45" s="4">
        <v>162.4</v>
      </c>
      <c r="K45">
        <v>42.67</v>
      </c>
      <c r="L45">
        <v>45.39</v>
      </c>
      <c r="M45">
        <v>21.34</v>
      </c>
    </row>
    <row r="46" spans="1:13" x14ac:dyDescent="0.35">
      <c r="A46" s="1">
        <v>45833</v>
      </c>
      <c r="B46" s="1">
        <v>45750</v>
      </c>
      <c r="C46" s="2">
        <f t="shared" si="0"/>
        <v>83</v>
      </c>
      <c r="D46">
        <v>45</v>
      </c>
      <c r="E46" s="4">
        <v>8.1999999999999993</v>
      </c>
      <c r="F46" s="4">
        <v>17.47</v>
      </c>
      <c r="G46" s="4">
        <v>17.100000000000001</v>
      </c>
      <c r="H46" s="4">
        <v>40.5</v>
      </c>
      <c r="I46" s="4">
        <v>978.95699999999999</v>
      </c>
      <c r="J46" s="4">
        <v>120.4</v>
      </c>
      <c r="K46">
        <v>40.520000000000003</v>
      </c>
      <c r="L46">
        <v>40.229999999999997</v>
      </c>
      <c r="M46">
        <v>15.69</v>
      </c>
    </row>
    <row r="47" spans="1:13" x14ac:dyDescent="0.35">
      <c r="A47" s="1">
        <v>45833</v>
      </c>
      <c r="B47" s="1">
        <v>45750</v>
      </c>
      <c r="C47" s="2">
        <f t="shared" si="0"/>
        <v>83</v>
      </c>
      <c r="D47">
        <v>46</v>
      </c>
      <c r="E47" s="4">
        <v>8.8000000000000007</v>
      </c>
      <c r="F47" s="4">
        <v>23.8</v>
      </c>
      <c r="G47" s="4">
        <v>22.4</v>
      </c>
      <c r="H47" s="4">
        <v>38.4</v>
      </c>
      <c r="I47" s="4">
        <v>941.08</v>
      </c>
      <c r="J47" s="4">
        <v>113.3</v>
      </c>
      <c r="K47">
        <v>38.89</v>
      </c>
      <c r="L47">
        <v>45.9</v>
      </c>
      <c r="M47">
        <v>21.62</v>
      </c>
    </row>
    <row r="48" spans="1:13" x14ac:dyDescent="0.35">
      <c r="A48" s="1">
        <v>45833</v>
      </c>
      <c r="B48" s="1">
        <v>45750</v>
      </c>
      <c r="C48" s="2">
        <f t="shared" si="0"/>
        <v>83</v>
      </c>
      <c r="D48">
        <v>47</v>
      </c>
      <c r="E48" s="4">
        <v>9.3000000000000007</v>
      </c>
      <c r="F48" s="4">
        <v>20.73</v>
      </c>
      <c r="G48" s="4">
        <v>21.2</v>
      </c>
      <c r="H48" s="4">
        <v>41.5</v>
      </c>
      <c r="I48" s="4">
        <v>1022.81</v>
      </c>
      <c r="J48" s="4">
        <v>158.5</v>
      </c>
      <c r="K48">
        <v>44.61</v>
      </c>
      <c r="L48">
        <v>45.19</v>
      </c>
      <c r="M48">
        <v>18.46</v>
      </c>
    </row>
    <row r="49" spans="1:13" x14ac:dyDescent="0.35">
      <c r="A49" s="1">
        <v>45833</v>
      </c>
      <c r="B49" s="1">
        <v>45750</v>
      </c>
      <c r="C49" s="2">
        <f t="shared" si="0"/>
        <v>83</v>
      </c>
      <c r="D49">
        <v>48</v>
      </c>
      <c r="E49" s="4">
        <v>12.8</v>
      </c>
      <c r="F49" s="4">
        <v>25.5</v>
      </c>
      <c r="G49" s="4">
        <v>23.7</v>
      </c>
      <c r="H49" s="4">
        <v>53.5</v>
      </c>
      <c r="I49" s="4">
        <v>929.32299999999998</v>
      </c>
      <c r="J49" s="4">
        <v>59.2</v>
      </c>
      <c r="K49">
        <v>41.03</v>
      </c>
      <c r="L49">
        <v>38.97</v>
      </c>
      <c r="M49">
        <v>16.489999999999998</v>
      </c>
    </row>
    <row r="50" spans="1:13" x14ac:dyDescent="0.35">
      <c r="A50" s="1">
        <v>45833</v>
      </c>
      <c r="B50" s="1">
        <v>45750</v>
      </c>
      <c r="C50" s="2">
        <f t="shared" si="0"/>
        <v>83</v>
      </c>
      <c r="D50">
        <v>49</v>
      </c>
      <c r="E50" s="4">
        <v>8.6999999999999993</v>
      </c>
      <c r="F50" s="4">
        <v>17.489999999999998</v>
      </c>
      <c r="G50" s="4">
        <v>19</v>
      </c>
      <c r="H50" s="4">
        <v>42.2</v>
      </c>
      <c r="I50" s="4">
        <v>1086.05</v>
      </c>
      <c r="J50" s="4">
        <v>164</v>
      </c>
      <c r="K50">
        <v>40.83</v>
      </c>
      <c r="L50">
        <v>42.65</v>
      </c>
      <c r="M50">
        <v>18.170000000000002</v>
      </c>
    </row>
    <row r="51" spans="1:13" x14ac:dyDescent="0.35">
      <c r="A51" s="1">
        <v>45833</v>
      </c>
      <c r="B51" s="1">
        <v>45750</v>
      </c>
      <c r="C51" s="2">
        <f t="shared" si="0"/>
        <v>83</v>
      </c>
      <c r="D51">
        <v>50</v>
      </c>
      <c r="E51" s="4">
        <v>11</v>
      </c>
      <c r="F51" s="4">
        <v>24.95</v>
      </c>
      <c r="G51" s="4">
        <v>25.4</v>
      </c>
      <c r="H51" s="4">
        <v>48.8</v>
      </c>
      <c r="I51" s="4">
        <v>1018.03</v>
      </c>
      <c r="J51" s="4">
        <v>155.19999999999999</v>
      </c>
      <c r="K51">
        <v>39.43</v>
      </c>
      <c r="L51">
        <v>42.23</v>
      </c>
      <c r="M51">
        <v>18.12</v>
      </c>
    </row>
    <row r="52" spans="1:13" x14ac:dyDescent="0.35">
      <c r="A52" s="1">
        <v>45838</v>
      </c>
      <c r="B52" s="1">
        <v>45750</v>
      </c>
      <c r="C52" s="2">
        <f t="shared" si="0"/>
        <v>88</v>
      </c>
      <c r="D52">
        <v>51</v>
      </c>
      <c r="E52" s="4">
        <v>9.1</v>
      </c>
    </row>
    <row r="53" spans="1:13" x14ac:dyDescent="0.35">
      <c r="A53" s="1">
        <v>45838</v>
      </c>
      <c r="B53" s="1">
        <v>45750</v>
      </c>
      <c r="C53" s="2">
        <f t="shared" si="0"/>
        <v>88</v>
      </c>
      <c r="D53">
        <v>52</v>
      </c>
      <c r="E53" s="4">
        <v>6.2</v>
      </c>
    </row>
    <row r="54" spans="1:13" x14ac:dyDescent="0.35">
      <c r="A54" s="1">
        <v>45838</v>
      </c>
      <c r="B54" s="1">
        <v>45750</v>
      </c>
      <c r="C54" s="2">
        <f t="shared" si="0"/>
        <v>88</v>
      </c>
      <c r="D54">
        <v>53</v>
      </c>
      <c r="E54" s="4">
        <v>7.4</v>
      </c>
    </row>
    <row r="55" spans="1:13" x14ac:dyDescent="0.35">
      <c r="A55" s="1">
        <v>45838</v>
      </c>
      <c r="B55" s="1">
        <v>45750</v>
      </c>
      <c r="C55" s="2">
        <f t="shared" si="0"/>
        <v>88</v>
      </c>
      <c r="D55">
        <v>54</v>
      </c>
      <c r="E55" s="4">
        <v>8.5</v>
      </c>
    </row>
    <row r="56" spans="1:13" x14ac:dyDescent="0.35">
      <c r="A56" s="1">
        <v>45838</v>
      </c>
      <c r="B56" s="1">
        <v>45750</v>
      </c>
      <c r="C56" s="2">
        <f t="shared" si="0"/>
        <v>88</v>
      </c>
      <c r="D56">
        <v>55</v>
      </c>
      <c r="E56" s="4">
        <v>8.3000000000000007</v>
      </c>
    </row>
    <row r="57" spans="1:13" x14ac:dyDescent="0.35">
      <c r="A57" s="1">
        <v>45838</v>
      </c>
      <c r="B57" s="1">
        <v>45750</v>
      </c>
      <c r="C57" s="2">
        <f t="shared" si="0"/>
        <v>88</v>
      </c>
      <c r="D57">
        <v>56</v>
      </c>
      <c r="E57" s="4">
        <v>8.9</v>
      </c>
    </row>
    <row r="58" spans="1:13" x14ac:dyDescent="0.35">
      <c r="A58" s="1">
        <v>45841</v>
      </c>
      <c r="B58" s="1">
        <v>45750</v>
      </c>
      <c r="C58" s="2">
        <f t="shared" si="0"/>
        <v>91</v>
      </c>
      <c r="D58">
        <v>57</v>
      </c>
      <c r="E58" s="4">
        <v>8.1</v>
      </c>
    </row>
    <row r="59" spans="1:13" x14ac:dyDescent="0.35">
      <c r="A59" s="1">
        <v>45841</v>
      </c>
      <c r="B59" s="1">
        <v>45750</v>
      </c>
      <c r="C59" s="2">
        <f t="shared" si="0"/>
        <v>91</v>
      </c>
      <c r="D59">
        <v>58</v>
      </c>
      <c r="E59" s="4">
        <v>6.3</v>
      </c>
    </row>
    <row r="60" spans="1:13" x14ac:dyDescent="0.35">
      <c r="A60" s="1">
        <v>45841</v>
      </c>
      <c r="B60" s="1">
        <v>45750</v>
      </c>
      <c r="C60" s="2">
        <f t="shared" si="0"/>
        <v>91</v>
      </c>
      <c r="D60">
        <v>59</v>
      </c>
      <c r="E60" s="4">
        <v>5.9</v>
      </c>
    </row>
    <row r="61" spans="1:13" x14ac:dyDescent="0.35">
      <c r="A61" s="1">
        <v>45841</v>
      </c>
      <c r="B61" s="1">
        <v>45750</v>
      </c>
      <c r="C61" s="2">
        <f t="shared" si="0"/>
        <v>91</v>
      </c>
      <c r="D61">
        <v>60</v>
      </c>
      <c r="E61" s="4">
        <v>6.7</v>
      </c>
    </row>
    <row r="62" spans="1:13" x14ac:dyDescent="0.35">
      <c r="A62" s="1">
        <v>45841</v>
      </c>
      <c r="B62" s="1">
        <v>45750</v>
      </c>
      <c r="C62" s="2">
        <f t="shared" si="0"/>
        <v>91</v>
      </c>
      <c r="D62">
        <v>61</v>
      </c>
      <c r="E62" s="4">
        <v>7.6</v>
      </c>
    </row>
    <row r="63" spans="1:13" x14ac:dyDescent="0.35">
      <c r="A63" s="1">
        <v>45841</v>
      </c>
      <c r="B63" s="1">
        <v>45750</v>
      </c>
      <c r="C63" s="2">
        <f t="shared" si="0"/>
        <v>91</v>
      </c>
      <c r="D63">
        <v>62</v>
      </c>
      <c r="E63" s="4">
        <v>6.1</v>
      </c>
    </row>
    <row r="64" spans="1:13" x14ac:dyDescent="0.35">
      <c r="A64" s="1">
        <v>45845</v>
      </c>
      <c r="B64" s="1">
        <v>45750</v>
      </c>
      <c r="C64" s="2">
        <f t="shared" si="0"/>
        <v>95</v>
      </c>
      <c r="D64">
        <v>63</v>
      </c>
      <c r="E64" s="4">
        <v>8.5</v>
      </c>
    </row>
    <row r="65" spans="1:5" x14ac:dyDescent="0.35">
      <c r="A65" s="1">
        <v>45845</v>
      </c>
      <c r="B65" s="1">
        <v>45750</v>
      </c>
      <c r="C65" s="2">
        <f t="shared" si="0"/>
        <v>95</v>
      </c>
      <c r="D65">
        <v>64</v>
      </c>
      <c r="E65" s="4">
        <v>6.4</v>
      </c>
    </row>
    <row r="66" spans="1:5" x14ac:dyDescent="0.35">
      <c r="A66" s="1">
        <v>45845</v>
      </c>
      <c r="B66" s="1">
        <v>45750</v>
      </c>
      <c r="C66" s="2">
        <f t="shared" si="0"/>
        <v>95</v>
      </c>
      <c r="D66">
        <v>65</v>
      </c>
      <c r="E66" s="4">
        <v>8.1</v>
      </c>
    </row>
    <row r="67" spans="1:5" x14ac:dyDescent="0.35">
      <c r="A67" s="1">
        <v>45845</v>
      </c>
      <c r="B67" s="1">
        <v>45750</v>
      </c>
      <c r="C67" s="2">
        <f t="shared" ref="C67:C130" si="1">_xlfn.DAYS(A67,B67)</f>
        <v>95</v>
      </c>
      <c r="D67">
        <v>66</v>
      </c>
      <c r="E67" s="4">
        <v>6.5</v>
      </c>
    </row>
    <row r="68" spans="1:5" x14ac:dyDescent="0.35">
      <c r="A68" s="1">
        <v>45845</v>
      </c>
      <c r="B68" s="1">
        <v>45750</v>
      </c>
      <c r="C68" s="2">
        <f t="shared" si="1"/>
        <v>95</v>
      </c>
      <c r="D68">
        <v>67</v>
      </c>
      <c r="E68" s="4">
        <v>8</v>
      </c>
    </row>
    <row r="69" spans="1:5" x14ac:dyDescent="0.35">
      <c r="A69" s="1">
        <v>45845</v>
      </c>
      <c r="B69" s="1">
        <v>45750</v>
      </c>
      <c r="C69" s="2">
        <f t="shared" si="1"/>
        <v>95</v>
      </c>
      <c r="D69">
        <v>68</v>
      </c>
      <c r="E69" s="4">
        <v>8</v>
      </c>
    </row>
    <row r="70" spans="1:5" x14ac:dyDescent="0.35">
      <c r="A70" s="1">
        <v>45848</v>
      </c>
      <c r="B70" s="1">
        <v>45750</v>
      </c>
      <c r="C70" s="2">
        <f t="shared" si="1"/>
        <v>98</v>
      </c>
      <c r="D70">
        <v>69</v>
      </c>
      <c r="E70" s="4">
        <v>8.8000000000000007</v>
      </c>
    </row>
    <row r="71" spans="1:5" x14ac:dyDescent="0.35">
      <c r="A71" s="1">
        <v>45848</v>
      </c>
      <c r="B71" s="1">
        <v>45750</v>
      </c>
      <c r="C71" s="2">
        <f t="shared" si="1"/>
        <v>98</v>
      </c>
      <c r="D71">
        <v>70</v>
      </c>
      <c r="E71" s="4">
        <v>7.9</v>
      </c>
    </row>
    <row r="72" spans="1:5" x14ac:dyDescent="0.35">
      <c r="A72" s="1">
        <v>45848</v>
      </c>
      <c r="B72" s="1">
        <v>45750</v>
      </c>
      <c r="C72" s="2">
        <f t="shared" si="1"/>
        <v>98</v>
      </c>
      <c r="D72">
        <v>71</v>
      </c>
      <c r="E72" s="4">
        <v>10</v>
      </c>
    </row>
    <row r="73" spans="1:5" x14ac:dyDescent="0.35">
      <c r="A73" s="1">
        <v>45848</v>
      </c>
      <c r="B73" s="1">
        <v>45750</v>
      </c>
      <c r="C73" s="2">
        <f t="shared" si="1"/>
        <v>98</v>
      </c>
      <c r="D73">
        <v>72</v>
      </c>
      <c r="E73" s="4">
        <v>7.6</v>
      </c>
    </row>
    <row r="74" spans="1:5" x14ac:dyDescent="0.35">
      <c r="A74" s="1">
        <v>45848</v>
      </c>
      <c r="B74" s="1">
        <v>45750</v>
      </c>
      <c r="C74" s="2">
        <f t="shared" si="1"/>
        <v>98</v>
      </c>
      <c r="D74">
        <v>73</v>
      </c>
      <c r="E74" s="4">
        <v>7</v>
      </c>
    </row>
    <row r="75" spans="1:5" x14ac:dyDescent="0.35">
      <c r="A75" s="1">
        <v>45848</v>
      </c>
      <c r="B75" s="1">
        <v>45750</v>
      </c>
      <c r="C75" s="2">
        <f t="shared" si="1"/>
        <v>98</v>
      </c>
      <c r="D75">
        <v>74</v>
      </c>
      <c r="E75" s="4">
        <v>7.1</v>
      </c>
    </row>
    <row r="76" spans="1:5" x14ac:dyDescent="0.35">
      <c r="A76" s="1">
        <v>45852</v>
      </c>
      <c r="B76" s="1">
        <v>45750</v>
      </c>
      <c r="C76" s="2">
        <f t="shared" si="1"/>
        <v>102</v>
      </c>
      <c r="D76">
        <v>75</v>
      </c>
      <c r="E76" s="4">
        <v>5.9</v>
      </c>
    </row>
    <row r="77" spans="1:5" x14ac:dyDescent="0.35">
      <c r="A77" s="1">
        <v>45852</v>
      </c>
      <c r="B77" s="1">
        <v>45750</v>
      </c>
      <c r="C77" s="2">
        <f t="shared" si="1"/>
        <v>102</v>
      </c>
      <c r="D77">
        <v>76</v>
      </c>
      <c r="E77" s="4">
        <v>9.6</v>
      </c>
    </row>
    <row r="78" spans="1:5" x14ac:dyDescent="0.35">
      <c r="A78" s="1">
        <v>45852</v>
      </c>
      <c r="B78" s="1">
        <v>45750</v>
      </c>
      <c r="C78" s="2">
        <f t="shared" si="1"/>
        <v>102</v>
      </c>
      <c r="D78">
        <v>77</v>
      </c>
      <c r="E78" s="4">
        <v>9.1</v>
      </c>
    </row>
    <row r="79" spans="1:5" x14ac:dyDescent="0.35">
      <c r="A79" s="1">
        <v>45852</v>
      </c>
      <c r="B79" s="1">
        <v>45750</v>
      </c>
      <c r="C79" s="2">
        <f t="shared" si="1"/>
        <v>102</v>
      </c>
      <c r="D79">
        <v>78</v>
      </c>
      <c r="E79" s="4">
        <v>10</v>
      </c>
    </row>
    <row r="80" spans="1:5" x14ac:dyDescent="0.35">
      <c r="A80" s="1">
        <v>45852</v>
      </c>
      <c r="B80" s="1">
        <v>45750</v>
      </c>
      <c r="C80" s="2">
        <f t="shared" si="1"/>
        <v>102</v>
      </c>
      <c r="D80">
        <v>79</v>
      </c>
      <c r="E80" s="4">
        <v>7.3</v>
      </c>
    </row>
    <row r="81" spans="1:5" x14ac:dyDescent="0.35">
      <c r="A81" s="1">
        <v>45852</v>
      </c>
      <c r="B81" s="1">
        <v>45750</v>
      </c>
      <c r="C81" s="2">
        <f t="shared" si="1"/>
        <v>102</v>
      </c>
      <c r="D81">
        <v>80</v>
      </c>
      <c r="E81" s="4">
        <v>8.6</v>
      </c>
    </row>
    <row r="82" spans="1:5" x14ac:dyDescent="0.35">
      <c r="A82" s="1">
        <v>45856</v>
      </c>
      <c r="B82" s="1">
        <v>45750</v>
      </c>
      <c r="C82" s="2">
        <f t="shared" si="1"/>
        <v>106</v>
      </c>
      <c r="D82">
        <v>81</v>
      </c>
      <c r="E82" s="4">
        <v>6.5</v>
      </c>
    </row>
    <row r="83" spans="1:5" x14ac:dyDescent="0.35">
      <c r="A83" s="1">
        <v>45856</v>
      </c>
      <c r="B83" s="1">
        <v>45750</v>
      </c>
      <c r="C83" s="2">
        <f t="shared" si="1"/>
        <v>106</v>
      </c>
      <c r="D83">
        <v>82</v>
      </c>
      <c r="E83" s="4">
        <v>6.7</v>
      </c>
    </row>
    <row r="84" spans="1:5" x14ac:dyDescent="0.35">
      <c r="A84" s="1">
        <v>45856</v>
      </c>
      <c r="B84" s="1">
        <v>45750</v>
      </c>
      <c r="C84" s="2">
        <f t="shared" si="1"/>
        <v>106</v>
      </c>
      <c r="D84">
        <v>83</v>
      </c>
      <c r="E84" s="4">
        <v>7.3</v>
      </c>
    </row>
    <row r="85" spans="1:5" x14ac:dyDescent="0.35">
      <c r="A85" s="1">
        <v>45856</v>
      </c>
      <c r="B85" s="1">
        <v>45750</v>
      </c>
      <c r="C85" s="2">
        <f t="shared" si="1"/>
        <v>106</v>
      </c>
      <c r="D85">
        <v>84</v>
      </c>
      <c r="E85" s="4">
        <v>8</v>
      </c>
    </row>
    <row r="86" spans="1:5" x14ac:dyDescent="0.35">
      <c r="A86" s="1">
        <v>45856</v>
      </c>
      <c r="B86" s="1">
        <v>45750</v>
      </c>
      <c r="C86" s="2">
        <f t="shared" si="1"/>
        <v>106</v>
      </c>
      <c r="D86">
        <v>85</v>
      </c>
      <c r="E86" s="4">
        <v>11.1</v>
      </c>
    </row>
    <row r="87" spans="1:5" x14ac:dyDescent="0.35">
      <c r="A87" s="1">
        <v>45856</v>
      </c>
      <c r="B87" s="1">
        <v>45750</v>
      </c>
      <c r="C87" s="2">
        <f t="shared" si="1"/>
        <v>106</v>
      </c>
      <c r="D87">
        <v>86</v>
      </c>
      <c r="E87" s="4">
        <v>7.6</v>
      </c>
    </row>
    <row r="88" spans="1:5" x14ac:dyDescent="0.35">
      <c r="A88" s="1">
        <v>45859</v>
      </c>
      <c r="B88" s="1">
        <v>45750</v>
      </c>
      <c r="C88" s="2">
        <f t="shared" si="1"/>
        <v>109</v>
      </c>
      <c r="D88">
        <v>87</v>
      </c>
      <c r="E88" s="4">
        <v>6.8</v>
      </c>
    </row>
    <row r="89" spans="1:5" x14ac:dyDescent="0.35">
      <c r="A89" s="1">
        <v>45859</v>
      </c>
      <c r="B89" s="1">
        <v>45750</v>
      </c>
      <c r="C89" s="2">
        <f t="shared" si="1"/>
        <v>109</v>
      </c>
      <c r="D89">
        <v>88</v>
      </c>
      <c r="E89" s="4">
        <v>6</v>
      </c>
    </row>
    <row r="90" spans="1:5" x14ac:dyDescent="0.35">
      <c r="A90" s="1">
        <v>45859</v>
      </c>
      <c r="B90" s="1">
        <v>45750</v>
      </c>
      <c r="C90" s="2">
        <f t="shared" si="1"/>
        <v>109</v>
      </c>
      <c r="D90">
        <v>89</v>
      </c>
      <c r="E90" s="4">
        <v>6.7</v>
      </c>
    </row>
    <row r="91" spans="1:5" x14ac:dyDescent="0.35">
      <c r="A91" s="1">
        <v>45859</v>
      </c>
      <c r="B91" s="1">
        <v>45750</v>
      </c>
      <c r="C91" s="2">
        <f t="shared" si="1"/>
        <v>109</v>
      </c>
      <c r="D91">
        <v>90</v>
      </c>
      <c r="E91" s="4">
        <v>7.3</v>
      </c>
    </row>
    <row r="92" spans="1:5" x14ac:dyDescent="0.35">
      <c r="A92" s="1">
        <v>45859</v>
      </c>
      <c r="B92" s="1">
        <v>45750</v>
      </c>
      <c r="C92" s="2">
        <f t="shared" si="1"/>
        <v>109</v>
      </c>
      <c r="D92">
        <v>91</v>
      </c>
      <c r="E92" s="4">
        <v>7.8</v>
      </c>
    </row>
    <row r="93" spans="1:5" x14ac:dyDescent="0.35">
      <c r="A93" s="1">
        <v>45859</v>
      </c>
      <c r="B93" s="1">
        <v>45750</v>
      </c>
      <c r="C93" s="2">
        <f t="shared" si="1"/>
        <v>109</v>
      </c>
      <c r="D93">
        <v>92</v>
      </c>
      <c r="E93" s="4">
        <v>6.9</v>
      </c>
    </row>
    <row r="94" spans="1:5" x14ac:dyDescent="0.35">
      <c r="A94" s="1">
        <v>45863</v>
      </c>
      <c r="B94" s="1">
        <v>45750</v>
      </c>
      <c r="C94" s="2">
        <f t="shared" si="1"/>
        <v>113</v>
      </c>
      <c r="D94">
        <v>93</v>
      </c>
      <c r="E94" s="4">
        <v>8.3000000000000007</v>
      </c>
    </row>
    <row r="95" spans="1:5" x14ac:dyDescent="0.35">
      <c r="A95" s="1">
        <v>45863</v>
      </c>
      <c r="B95" s="1">
        <v>45750</v>
      </c>
      <c r="C95" s="2">
        <f t="shared" si="1"/>
        <v>113</v>
      </c>
      <c r="D95">
        <v>94</v>
      </c>
      <c r="E95" s="4">
        <v>7.6</v>
      </c>
    </row>
    <row r="96" spans="1:5" x14ac:dyDescent="0.35">
      <c r="A96" s="1">
        <v>45863</v>
      </c>
      <c r="B96" s="1">
        <v>45750</v>
      </c>
      <c r="C96" s="2">
        <f t="shared" si="1"/>
        <v>113</v>
      </c>
      <c r="D96">
        <v>95</v>
      </c>
      <c r="E96" s="4">
        <v>8.6999999999999993</v>
      </c>
    </row>
    <row r="97" spans="1:13" x14ac:dyDescent="0.35">
      <c r="A97" s="1">
        <v>45863</v>
      </c>
      <c r="B97" s="1">
        <v>45750</v>
      </c>
      <c r="C97" s="2">
        <f t="shared" si="1"/>
        <v>113</v>
      </c>
      <c r="D97">
        <v>96</v>
      </c>
      <c r="E97" s="4">
        <v>5.8</v>
      </c>
    </row>
    <row r="98" spans="1:13" x14ac:dyDescent="0.35">
      <c r="A98" s="1">
        <v>45863</v>
      </c>
      <c r="B98" s="1">
        <v>45750</v>
      </c>
      <c r="C98" s="2">
        <f t="shared" si="1"/>
        <v>113</v>
      </c>
      <c r="D98">
        <v>97</v>
      </c>
      <c r="E98" s="4">
        <v>6.8</v>
      </c>
    </row>
    <row r="99" spans="1:13" x14ac:dyDescent="0.35">
      <c r="A99" s="1">
        <v>45863</v>
      </c>
      <c r="B99" s="1">
        <v>45750</v>
      </c>
      <c r="C99" s="2">
        <f t="shared" si="1"/>
        <v>113</v>
      </c>
      <c r="D99">
        <v>98</v>
      </c>
      <c r="E99" s="4">
        <v>7.1</v>
      </c>
    </row>
    <row r="100" spans="1:13" x14ac:dyDescent="0.35">
      <c r="A100" s="1">
        <v>45866</v>
      </c>
      <c r="B100" s="1">
        <v>45750</v>
      </c>
      <c r="C100" s="2">
        <f t="shared" si="1"/>
        <v>116</v>
      </c>
      <c r="D100">
        <v>99</v>
      </c>
      <c r="E100" s="4">
        <v>8.1999999999999993</v>
      </c>
    </row>
    <row r="101" spans="1:13" x14ac:dyDescent="0.35">
      <c r="A101" s="1">
        <v>45866</v>
      </c>
      <c r="B101" s="1">
        <v>45750</v>
      </c>
      <c r="C101" s="2">
        <f t="shared" si="1"/>
        <v>116</v>
      </c>
      <c r="D101">
        <v>100</v>
      </c>
      <c r="E101" s="4">
        <v>8.6999999999999993</v>
      </c>
    </row>
    <row r="102" spans="1:13" x14ac:dyDescent="0.35">
      <c r="A102" s="1">
        <v>45866</v>
      </c>
      <c r="B102" s="1">
        <v>45750</v>
      </c>
      <c r="C102" s="2">
        <f t="shared" si="1"/>
        <v>116</v>
      </c>
      <c r="D102">
        <v>101</v>
      </c>
      <c r="E102" s="4">
        <v>10.199999999999999</v>
      </c>
    </row>
    <row r="103" spans="1:13" x14ac:dyDescent="0.35">
      <c r="A103" s="1">
        <v>45866</v>
      </c>
      <c r="B103" s="1">
        <v>45750</v>
      </c>
      <c r="C103" s="2">
        <f t="shared" si="1"/>
        <v>116</v>
      </c>
      <c r="D103">
        <v>102</v>
      </c>
      <c r="E103" s="4">
        <v>7.5</v>
      </c>
    </row>
    <row r="104" spans="1:13" x14ac:dyDescent="0.35">
      <c r="A104" s="1">
        <v>45866</v>
      </c>
      <c r="B104" s="1">
        <v>45750</v>
      </c>
      <c r="C104" s="2">
        <f t="shared" si="1"/>
        <v>116</v>
      </c>
      <c r="D104">
        <v>103</v>
      </c>
      <c r="E104" s="4">
        <v>6.5</v>
      </c>
    </row>
    <row r="105" spans="1:13" x14ac:dyDescent="0.35">
      <c r="A105" s="1">
        <v>45866</v>
      </c>
      <c r="B105" s="1">
        <v>45750</v>
      </c>
      <c r="C105" s="2">
        <f t="shared" si="1"/>
        <v>116</v>
      </c>
      <c r="D105">
        <v>104</v>
      </c>
      <c r="E105" s="4">
        <v>8.9</v>
      </c>
    </row>
    <row r="106" spans="1:13" x14ac:dyDescent="0.35">
      <c r="A106" s="1">
        <v>45870</v>
      </c>
      <c r="B106" s="1">
        <v>45750</v>
      </c>
      <c r="C106" s="2">
        <f t="shared" si="1"/>
        <v>120</v>
      </c>
      <c r="D106">
        <v>105</v>
      </c>
      <c r="E106" s="4">
        <v>6</v>
      </c>
    </row>
    <row r="107" spans="1:13" x14ac:dyDescent="0.35">
      <c r="A107" s="1">
        <v>45870</v>
      </c>
      <c r="B107" s="1">
        <v>45750</v>
      </c>
      <c r="C107" s="2">
        <f t="shared" si="1"/>
        <v>120</v>
      </c>
      <c r="D107">
        <v>106</v>
      </c>
      <c r="E107" s="4">
        <v>6.8</v>
      </c>
    </row>
    <row r="108" spans="1:13" x14ac:dyDescent="0.35">
      <c r="A108" s="1">
        <v>45870</v>
      </c>
      <c r="B108" s="1">
        <v>45750</v>
      </c>
      <c r="C108" s="2">
        <f t="shared" si="1"/>
        <v>120</v>
      </c>
      <c r="D108">
        <v>107</v>
      </c>
      <c r="E108" s="4">
        <v>8.1999999999999993</v>
      </c>
    </row>
    <row r="109" spans="1:13" x14ac:dyDescent="0.35">
      <c r="A109" s="1">
        <v>45870</v>
      </c>
      <c r="B109" s="1">
        <v>45750</v>
      </c>
      <c r="C109" s="2">
        <f t="shared" si="1"/>
        <v>120</v>
      </c>
      <c r="D109">
        <v>108</v>
      </c>
      <c r="E109" s="4">
        <v>6.8</v>
      </c>
    </row>
    <row r="110" spans="1:13" x14ac:dyDescent="0.35">
      <c r="A110" s="1">
        <v>45870</v>
      </c>
      <c r="B110" s="1">
        <v>45750</v>
      </c>
      <c r="C110" s="2">
        <f t="shared" si="1"/>
        <v>120</v>
      </c>
      <c r="D110">
        <v>109</v>
      </c>
      <c r="E110" s="4">
        <v>6.4</v>
      </c>
    </row>
    <row r="111" spans="1:13" x14ac:dyDescent="0.35">
      <c r="A111" s="1">
        <v>45870</v>
      </c>
      <c r="B111" s="1">
        <v>45750</v>
      </c>
      <c r="C111" s="2">
        <f t="shared" si="1"/>
        <v>120</v>
      </c>
      <c r="D111">
        <v>110</v>
      </c>
      <c r="E111" s="4">
        <v>8</v>
      </c>
    </row>
    <row r="112" spans="1:13" x14ac:dyDescent="0.35">
      <c r="A112" s="1">
        <v>45874</v>
      </c>
      <c r="B112" s="1">
        <v>45750</v>
      </c>
      <c r="C112" s="2">
        <f t="shared" si="1"/>
        <v>124</v>
      </c>
      <c r="D112">
        <v>117</v>
      </c>
      <c r="E112" s="4">
        <v>9.1</v>
      </c>
      <c r="F112" s="4">
        <v>19.52</v>
      </c>
      <c r="G112" s="4">
        <v>19.2</v>
      </c>
      <c r="H112" s="4">
        <v>44.8</v>
      </c>
      <c r="I112" s="4">
        <v>983.51099999999997</v>
      </c>
      <c r="J112" s="4">
        <v>169.1</v>
      </c>
      <c r="K112">
        <v>43.71</v>
      </c>
      <c r="L112">
        <v>44.87</v>
      </c>
      <c r="M112">
        <v>21.53</v>
      </c>
    </row>
    <row r="113" spans="1:13" x14ac:dyDescent="0.35">
      <c r="A113" s="1">
        <v>45874</v>
      </c>
      <c r="B113" s="1">
        <v>45750</v>
      </c>
      <c r="C113" s="2">
        <f t="shared" si="1"/>
        <v>124</v>
      </c>
      <c r="D113">
        <v>118</v>
      </c>
      <c r="E113" s="4">
        <v>9.8000000000000007</v>
      </c>
      <c r="F113" s="4">
        <v>16.02</v>
      </c>
      <c r="G113" s="4">
        <v>16.5</v>
      </c>
      <c r="H113" s="4">
        <v>43.1</v>
      </c>
      <c r="I113" s="4">
        <v>1030</v>
      </c>
      <c r="J113" s="4">
        <v>116.1</v>
      </c>
      <c r="K113">
        <v>35.56</v>
      </c>
      <c r="L113">
        <v>44.02</v>
      </c>
      <c r="M113">
        <v>25.19</v>
      </c>
    </row>
    <row r="114" spans="1:13" x14ac:dyDescent="0.35">
      <c r="A114" s="1">
        <v>45874</v>
      </c>
      <c r="B114" s="1">
        <v>45750</v>
      </c>
      <c r="C114" s="2">
        <f t="shared" si="1"/>
        <v>124</v>
      </c>
      <c r="D114">
        <v>119</v>
      </c>
      <c r="E114" s="4">
        <v>8.3000000000000007</v>
      </c>
      <c r="F114" s="4">
        <v>16.71</v>
      </c>
      <c r="G114" s="4">
        <v>16.3</v>
      </c>
      <c r="H114" s="4">
        <v>38</v>
      </c>
      <c r="I114" s="4">
        <v>975.71900000000005</v>
      </c>
      <c r="J114" s="4">
        <v>110.8</v>
      </c>
      <c r="K114">
        <v>43.47</v>
      </c>
      <c r="L114">
        <v>46.35</v>
      </c>
      <c r="M114">
        <v>23.99</v>
      </c>
    </row>
    <row r="115" spans="1:13" x14ac:dyDescent="0.35">
      <c r="A115" s="1">
        <v>45874</v>
      </c>
      <c r="B115" s="1">
        <v>45750</v>
      </c>
      <c r="C115" s="2">
        <f t="shared" si="1"/>
        <v>124</v>
      </c>
      <c r="D115">
        <v>120</v>
      </c>
      <c r="E115" s="4">
        <v>8.8000000000000007</v>
      </c>
      <c r="F115" s="4">
        <v>16.899999999999999</v>
      </c>
      <c r="G115" s="4">
        <v>17.600000000000001</v>
      </c>
      <c r="H115" s="4">
        <v>40.799999999999997</v>
      </c>
      <c r="I115" s="4">
        <v>1041.1400000000001</v>
      </c>
      <c r="J115" s="4">
        <v>137.5</v>
      </c>
      <c r="K115">
        <v>44.97</v>
      </c>
      <c r="L115">
        <v>47.17</v>
      </c>
      <c r="M115">
        <v>23.93</v>
      </c>
    </row>
    <row r="116" spans="1:13" x14ac:dyDescent="0.35">
      <c r="A116" s="1">
        <v>45874</v>
      </c>
      <c r="B116" s="1">
        <v>45750</v>
      </c>
      <c r="C116" s="2">
        <f t="shared" si="1"/>
        <v>124</v>
      </c>
      <c r="D116">
        <v>121</v>
      </c>
      <c r="E116" s="4">
        <v>6.6</v>
      </c>
      <c r="F116" s="4">
        <v>14.37</v>
      </c>
      <c r="G116" s="4">
        <v>15.5</v>
      </c>
      <c r="H116" s="4">
        <v>35.5</v>
      </c>
      <c r="I116" s="4">
        <v>1078.8399999999999</v>
      </c>
      <c r="J116" s="4">
        <v>112.6</v>
      </c>
      <c r="K116">
        <v>41.92</v>
      </c>
      <c r="L116">
        <v>45.43</v>
      </c>
      <c r="M116">
        <v>23.23</v>
      </c>
    </row>
    <row r="117" spans="1:13" x14ac:dyDescent="0.35">
      <c r="A117" s="1">
        <v>45874</v>
      </c>
      <c r="B117" s="1">
        <v>45750</v>
      </c>
      <c r="C117" s="2">
        <f t="shared" si="1"/>
        <v>124</v>
      </c>
      <c r="D117">
        <v>122</v>
      </c>
      <c r="E117" s="4">
        <v>8.6</v>
      </c>
      <c r="F117" s="4">
        <v>15.02</v>
      </c>
      <c r="G117" s="4">
        <v>15.8</v>
      </c>
      <c r="H117" s="4">
        <v>38.5</v>
      </c>
      <c r="I117" s="4">
        <v>1052.25</v>
      </c>
      <c r="J117" s="4">
        <v>122.4</v>
      </c>
      <c r="K117">
        <v>40.85</v>
      </c>
      <c r="L117">
        <v>45.57</v>
      </c>
      <c r="M117">
        <v>23.02</v>
      </c>
    </row>
    <row r="118" spans="1:13" x14ac:dyDescent="0.35">
      <c r="A118" s="1">
        <v>45877</v>
      </c>
      <c r="B118" s="1">
        <v>45750</v>
      </c>
      <c r="C118" s="2">
        <f t="shared" si="1"/>
        <v>127</v>
      </c>
      <c r="D118">
        <v>117</v>
      </c>
      <c r="E118" s="4">
        <v>8.6999999999999993</v>
      </c>
      <c r="F118" s="4">
        <v>15.85</v>
      </c>
      <c r="G118" s="4">
        <v>15.9</v>
      </c>
      <c r="H118" s="4">
        <v>39.4</v>
      </c>
      <c r="I118" s="4">
        <v>1002.9</v>
      </c>
      <c r="J118" s="4">
        <v>196.3</v>
      </c>
      <c r="K118">
        <v>45.59</v>
      </c>
      <c r="L118">
        <v>45.62</v>
      </c>
      <c r="M118">
        <v>26.64</v>
      </c>
    </row>
    <row r="119" spans="1:13" x14ac:dyDescent="0.35">
      <c r="A119" s="1">
        <v>45877</v>
      </c>
      <c r="B119" s="1">
        <v>45750</v>
      </c>
      <c r="C119" s="2">
        <f t="shared" si="1"/>
        <v>127</v>
      </c>
      <c r="D119">
        <v>118</v>
      </c>
      <c r="E119" s="4">
        <v>8.8000000000000007</v>
      </c>
      <c r="F119" s="4">
        <v>19.350000000000001</v>
      </c>
      <c r="G119" s="4">
        <v>19.7</v>
      </c>
      <c r="H119" s="4">
        <v>43.5</v>
      </c>
      <c r="I119" s="4">
        <v>1018.27</v>
      </c>
      <c r="J119" s="4">
        <v>298.60000000000002</v>
      </c>
      <c r="K119">
        <v>44.65</v>
      </c>
      <c r="L119">
        <v>46.79</v>
      </c>
      <c r="M119">
        <v>30.11</v>
      </c>
    </row>
    <row r="120" spans="1:13" x14ac:dyDescent="0.35">
      <c r="A120" s="1">
        <v>45877</v>
      </c>
      <c r="B120" s="1">
        <v>45750</v>
      </c>
      <c r="C120" s="2">
        <f t="shared" si="1"/>
        <v>127</v>
      </c>
      <c r="D120">
        <v>119</v>
      </c>
      <c r="E120" s="4">
        <v>5.6</v>
      </c>
      <c r="F120" s="4">
        <v>16.22</v>
      </c>
      <c r="G120" s="4">
        <v>16.8</v>
      </c>
      <c r="H120" s="4">
        <v>42.9</v>
      </c>
      <c r="I120" s="4">
        <v>1035.52</v>
      </c>
      <c r="J120" s="4">
        <v>165.9</v>
      </c>
      <c r="K120">
        <v>40.14</v>
      </c>
      <c r="L120">
        <v>45.33</v>
      </c>
      <c r="M120">
        <v>24.97</v>
      </c>
    </row>
    <row r="121" spans="1:13" x14ac:dyDescent="0.35">
      <c r="A121" s="1">
        <v>45877</v>
      </c>
      <c r="B121" s="1">
        <v>45750</v>
      </c>
      <c r="C121" s="2">
        <f t="shared" si="1"/>
        <v>127</v>
      </c>
      <c r="D121">
        <v>120</v>
      </c>
      <c r="E121" s="4">
        <v>8.1999999999999993</v>
      </c>
      <c r="F121" s="4">
        <v>19.829999999999998</v>
      </c>
      <c r="G121" s="4">
        <v>20.8</v>
      </c>
      <c r="H121" s="4">
        <v>46.6</v>
      </c>
      <c r="I121" s="4">
        <v>1048.75</v>
      </c>
      <c r="J121" s="4">
        <v>242.8</v>
      </c>
      <c r="K121">
        <v>41.55</v>
      </c>
      <c r="L121">
        <v>45.46</v>
      </c>
      <c r="M121">
        <v>27.48</v>
      </c>
    </row>
    <row r="122" spans="1:13" x14ac:dyDescent="0.35">
      <c r="A122" s="1">
        <v>45877</v>
      </c>
      <c r="B122" s="1">
        <v>45750</v>
      </c>
      <c r="C122" s="2">
        <f t="shared" si="1"/>
        <v>127</v>
      </c>
      <c r="D122">
        <v>121</v>
      </c>
      <c r="E122" s="4">
        <v>9.6</v>
      </c>
      <c r="F122" s="4">
        <v>18.329999999999998</v>
      </c>
      <c r="G122" s="4">
        <v>18.8</v>
      </c>
      <c r="H122" s="4">
        <v>42</v>
      </c>
      <c r="I122" s="4">
        <v>1025.68</v>
      </c>
      <c r="J122" s="4">
        <v>125.4</v>
      </c>
      <c r="K122">
        <v>43.15</v>
      </c>
      <c r="L122">
        <v>46.18</v>
      </c>
      <c r="M122">
        <v>27.37</v>
      </c>
    </row>
    <row r="123" spans="1:13" x14ac:dyDescent="0.35">
      <c r="A123" s="1">
        <v>45877</v>
      </c>
      <c r="B123" s="1">
        <v>45750</v>
      </c>
      <c r="C123" s="2">
        <f t="shared" si="1"/>
        <v>127</v>
      </c>
      <c r="D123">
        <v>122</v>
      </c>
      <c r="E123" s="4">
        <v>9.3000000000000007</v>
      </c>
      <c r="F123" s="4">
        <v>8.4700000000000006</v>
      </c>
      <c r="G123" s="4">
        <v>9.6999999999999993</v>
      </c>
      <c r="H123" s="4">
        <v>33.200000000000003</v>
      </c>
      <c r="I123" s="4">
        <v>1144.8</v>
      </c>
      <c r="J123" s="4">
        <v>187.6</v>
      </c>
      <c r="K123">
        <v>42</v>
      </c>
      <c r="L123">
        <v>45.41</v>
      </c>
      <c r="M123">
        <v>22.45</v>
      </c>
    </row>
    <row r="124" spans="1:13" x14ac:dyDescent="0.35">
      <c r="A124" s="1">
        <v>45882</v>
      </c>
      <c r="B124" s="1">
        <v>45750</v>
      </c>
      <c r="C124" s="2">
        <f t="shared" si="1"/>
        <v>132</v>
      </c>
      <c r="D124">
        <v>123</v>
      </c>
      <c r="E124" s="4">
        <v>7.6</v>
      </c>
      <c r="F124" s="4">
        <v>8.8699999999999992</v>
      </c>
      <c r="G124" s="4">
        <v>9</v>
      </c>
      <c r="H124" s="4">
        <v>34.9</v>
      </c>
      <c r="I124" s="4">
        <v>1014.48</v>
      </c>
      <c r="J124" s="4">
        <v>129.80000000000001</v>
      </c>
      <c r="K124">
        <v>38.29</v>
      </c>
      <c r="L124">
        <v>44.01</v>
      </c>
      <c r="M124">
        <v>21.39</v>
      </c>
    </row>
    <row r="125" spans="1:13" x14ac:dyDescent="0.35">
      <c r="A125" s="1">
        <v>45882</v>
      </c>
      <c r="B125" s="1">
        <v>45750</v>
      </c>
      <c r="C125" s="2">
        <f t="shared" si="1"/>
        <v>132</v>
      </c>
      <c r="D125">
        <v>124</v>
      </c>
      <c r="E125" s="4">
        <v>8.1</v>
      </c>
      <c r="F125" s="4">
        <v>16.39</v>
      </c>
      <c r="G125" s="4">
        <v>17.2</v>
      </c>
      <c r="H125" s="4">
        <v>42.6</v>
      </c>
      <c r="I125" s="4">
        <v>1049.1099999999999</v>
      </c>
      <c r="J125" s="4">
        <v>171</v>
      </c>
      <c r="K125">
        <v>38.06</v>
      </c>
      <c r="L125">
        <v>44.25</v>
      </c>
      <c r="M125">
        <v>23.1</v>
      </c>
    </row>
    <row r="126" spans="1:13" x14ac:dyDescent="0.35">
      <c r="A126" s="1">
        <v>45882</v>
      </c>
      <c r="B126" s="1">
        <v>45750</v>
      </c>
      <c r="C126" s="2">
        <f t="shared" si="1"/>
        <v>132</v>
      </c>
      <c r="D126">
        <v>125</v>
      </c>
      <c r="E126" s="4">
        <v>9.6</v>
      </c>
      <c r="F126" s="4">
        <v>19.559999999999999</v>
      </c>
      <c r="G126" s="4">
        <v>19.899999999999999</v>
      </c>
      <c r="H126" s="4">
        <v>40.200000000000003</v>
      </c>
      <c r="I126" s="4">
        <v>1017.32</v>
      </c>
      <c r="J126" s="4">
        <v>143.80000000000001</v>
      </c>
      <c r="K126">
        <v>33.65</v>
      </c>
      <c r="L126">
        <v>40.56</v>
      </c>
      <c r="M126">
        <v>23.48</v>
      </c>
    </row>
    <row r="127" spans="1:13" x14ac:dyDescent="0.35">
      <c r="A127" s="1">
        <v>45882</v>
      </c>
      <c r="B127" s="1">
        <v>45750</v>
      </c>
      <c r="C127" s="2">
        <f t="shared" si="1"/>
        <v>132</v>
      </c>
      <c r="D127">
        <v>126</v>
      </c>
      <c r="E127" s="4">
        <v>7.3</v>
      </c>
      <c r="F127" s="4">
        <v>19.41</v>
      </c>
      <c r="G127" s="4">
        <v>20.100000000000001</v>
      </c>
      <c r="H127" s="4">
        <v>41</v>
      </c>
      <c r="I127" s="4">
        <v>1035.6099999999999</v>
      </c>
      <c r="J127" s="4">
        <v>121.1</v>
      </c>
      <c r="K127">
        <v>34.17</v>
      </c>
      <c r="L127">
        <v>45.71</v>
      </c>
      <c r="M127">
        <v>27.89</v>
      </c>
    </row>
    <row r="128" spans="1:13" x14ac:dyDescent="0.35">
      <c r="A128" s="1">
        <v>45882</v>
      </c>
      <c r="B128" s="1">
        <v>45750</v>
      </c>
      <c r="C128" s="2">
        <f t="shared" si="1"/>
        <v>132</v>
      </c>
      <c r="D128">
        <v>127</v>
      </c>
      <c r="E128" s="4">
        <v>9.3000000000000007</v>
      </c>
      <c r="F128" s="4">
        <v>18.100000000000001</v>
      </c>
      <c r="G128" s="4">
        <v>18.899999999999999</v>
      </c>
      <c r="H128" s="4">
        <v>45.1</v>
      </c>
      <c r="I128" s="4">
        <v>1044.3499999999999</v>
      </c>
      <c r="J128" s="4">
        <v>147</v>
      </c>
      <c r="K128">
        <v>35.65</v>
      </c>
      <c r="L128">
        <v>42.96</v>
      </c>
      <c r="M128">
        <v>23.07</v>
      </c>
    </row>
    <row r="129" spans="1:13" x14ac:dyDescent="0.35">
      <c r="A129" s="1">
        <v>45882</v>
      </c>
      <c r="B129" s="1">
        <v>45750</v>
      </c>
      <c r="C129" s="2">
        <f t="shared" si="1"/>
        <v>132</v>
      </c>
      <c r="D129">
        <v>128</v>
      </c>
      <c r="E129" s="4">
        <v>9.9</v>
      </c>
      <c r="F129" s="4">
        <v>17.98</v>
      </c>
      <c r="G129" s="4">
        <v>18.399999999999999</v>
      </c>
      <c r="H129" s="4">
        <v>39.5</v>
      </c>
      <c r="I129" s="4">
        <v>1023.28</v>
      </c>
      <c r="J129" s="4">
        <v>131.69999999999999</v>
      </c>
      <c r="K129">
        <v>45.38</v>
      </c>
      <c r="L129">
        <v>46.31</v>
      </c>
      <c r="M129">
        <v>26.79</v>
      </c>
    </row>
    <row r="130" spans="1:13" x14ac:dyDescent="0.35">
      <c r="A130" s="1">
        <v>45890</v>
      </c>
      <c r="B130" s="1">
        <v>45750</v>
      </c>
      <c r="C130" s="2">
        <f t="shared" si="1"/>
        <v>140</v>
      </c>
      <c r="D130">
        <v>129</v>
      </c>
      <c r="E130">
        <v>6.6</v>
      </c>
      <c r="F130">
        <v>13.89</v>
      </c>
      <c r="G130">
        <v>14.1</v>
      </c>
      <c r="H130">
        <v>36.4</v>
      </c>
      <c r="I130">
        <v>1015.15</v>
      </c>
      <c r="J130">
        <v>107.09</v>
      </c>
      <c r="K130">
        <v>41.99</v>
      </c>
      <c r="L130">
        <v>45.12</v>
      </c>
      <c r="M130">
        <v>21.45</v>
      </c>
    </row>
    <row r="131" spans="1:13" x14ac:dyDescent="0.35">
      <c r="A131" s="1">
        <v>45890</v>
      </c>
      <c r="B131" s="1">
        <v>45750</v>
      </c>
      <c r="C131" s="2">
        <f t="shared" ref="C131:C153" si="2">_xlfn.DAYS(A131,B131)</f>
        <v>140</v>
      </c>
      <c r="D131">
        <v>130</v>
      </c>
      <c r="E131">
        <v>4.9000000000000004</v>
      </c>
      <c r="F131">
        <v>14.74</v>
      </c>
      <c r="G131">
        <v>15.2</v>
      </c>
      <c r="H131">
        <v>39</v>
      </c>
      <c r="I131">
        <v>1031.49</v>
      </c>
      <c r="J131">
        <v>109.3</v>
      </c>
      <c r="K131">
        <v>41.44</v>
      </c>
      <c r="L131">
        <v>44.69</v>
      </c>
      <c r="M131">
        <v>21.21</v>
      </c>
    </row>
    <row r="132" spans="1:13" x14ac:dyDescent="0.35">
      <c r="A132" s="1">
        <v>45890</v>
      </c>
      <c r="B132" s="1">
        <v>45750</v>
      </c>
      <c r="C132" s="2">
        <f t="shared" si="2"/>
        <v>140</v>
      </c>
      <c r="D132">
        <v>131</v>
      </c>
      <c r="E132">
        <v>6.8</v>
      </c>
      <c r="F132">
        <v>21.97</v>
      </c>
      <c r="G132">
        <v>21.4</v>
      </c>
      <c r="H132">
        <v>44.6</v>
      </c>
      <c r="I132">
        <v>974.17399999999998</v>
      </c>
      <c r="J132">
        <v>154.9</v>
      </c>
      <c r="K132">
        <v>41.97</v>
      </c>
      <c r="L132">
        <v>45.41</v>
      </c>
      <c r="M132">
        <v>22.47</v>
      </c>
    </row>
    <row r="133" spans="1:13" x14ac:dyDescent="0.35">
      <c r="A133" s="1">
        <v>45890</v>
      </c>
      <c r="B133" s="1">
        <v>45750</v>
      </c>
      <c r="C133" s="2">
        <f t="shared" si="2"/>
        <v>140</v>
      </c>
      <c r="D133">
        <v>132</v>
      </c>
      <c r="E133">
        <v>6.6</v>
      </c>
      <c r="F133">
        <v>13.95</v>
      </c>
      <c r="G133">
        <v>14.7</v>
      </c>
      <c r="H133">
        <v>36.1</v>
      </c>
      <c r="I133">
        <v>1054</v>
      </c>
      <c r="J133">
        <v>152.1</v>
      </c>
      <c r="K133">
        <v>42.25</v>
      </c>
      <c r="L133">
        <v>46.97</v>
      </c>
      <c r="M133">
        <v>24.06</v>
      </c>
    </row>
    <row r="134" spans="1:13" x14ac:dyDescent="0.35">
      <c r="A134" s="1">
        <v>45890</v>
      </c>
      <c r="B134" s="1">
        <v>45750</v>
      </c>
      <c r="C134" s="2">
        <f t="shared" si="2"/>
        <v>140</v>
      </c>
      <c r="D134">
        <v>133</v>
      </c>
      <c r="E134">
        <v>8.1999999999999993</v>
      </c>
      <c r="F134">
        <v>15.42</v>
      </c>
      <c r="G134">
        <v>16.100000000000001</v>
      </c>
      <c r="H134">
        <v>38.1</v>
      </c>
      <c r="I134">
        <v>1044.08</v>
      </c>
      <c r="J134">
        <v>86.5</v>
      </c>
      <c r="K134">
        <v>41.47</v>
      </c>
      <c r="L134">
        <v>45.47</v>
      </c>
      <c r="M134">
        <v>22.81</v>
      </c>
    </row>
    <row r="135" spans="1:13" x14ac:dyDescent="0.35">
      <c r="A135" s="1">
        <v>45890</v>
      </c>
      <c r="B135" s="1">
        <v>45750</v>
      </c>
      <c r="C135" s="2">
        <f t="shared" si="2"/>
        <v>140</v>
      </c>
      <c r="D135">
        <v>134</v>
      </c>
      <c r="E135">
        <v>7.9</v>
      </c>
      <c r="F135">
        <v>12.58</v>
      </c>
      <c r="G135">
        <v>14</v>
      </c>
      <c r="H135">
        <v>35.5</v>
      </c>
      <c r="I135">
        <v>1112.56</v>
      </c>
      <c r="J135">
        <v>132.69999999999999</v>
      </c>
      <c r="K135">
        <v>39.06</v>
      </c>
      <c r="L135">
        <v>44.92</v>
      </c>
      <c r="M135">
        <v>21.96</v>
      </c>
    </row>
    <row r="136" spans="1:13" x14ac:dyDescent="0.35">
      <c r="A136" s="1">
        <v>45896</v>
      </c>
      <c r="B136" s="1">
        <v>45750</v>
      </c>
      <c r="C136" s="2">
        <f t="shared" si="2"/>
        <v>146</v>
      </c>
      <c r="D136">
        <v>135</v>
      </c>
      <c r="E136">
        <v>8.6999999999999993</v>
      </c>
      <c r="F136">
        <v>16.79</v>
      </c>
      <c r="G136">
        <v>16.899999999999999</v>
      </c>
      <c r="H136">
        <v>42.8</v>
      </c>
      <c r="I136">
        <v>1006.28</v>
      </c>
      <c r="J136">
        <v>122.3</v>
      </c>
      <c r="K136">
        <v>39.83</v>
      </c>
      <c r="L136">
        <v>43.88</v>
      </c>
      <c r="M136">
        <v>21.08</v>
      </c>
    </row>
    <row r="137" spans="1:13" x14ac:dyDescent="0.35">
      <c r="A137" s="1">
        <v>45896</v>
      </c>
      <c r="B137" s="1">
        <v>45750</v>
      </c>
      <c r="C137" s="2">
        <f t="shared" si="2"/>
        <v>146</v>
      </c>
      <c r="D137">
        <v>136</v>
      </c>
      <c r="E137">
        <v>8</v>
      </c>
      <c r="F137">
        <v>17.48</v>
      </c>
      <c r="G137">
        <v>17.8</v>
      </c>
      <c r="H137">
        <v>41.6</v>
      </c>
      <c r="I137">
        <v>1018.47</v>
      </c>
      <c r="J137">
        <v>150.80000000000001</v>
      </c>
      <c r="K137">
        <v>40.86</v>
      </c>
      <c r="L137">
        <v>44</v>
      </c>
      <c r="M137">
        <v>20.81</v>
      </c>
    </row>
    <row r="138" spans="1:13" x14ac:dyDescent="0.35">
      <c r="A138" s="1">
        <v>45896</v>
      </c>
      <c r="B138" s="1">
        <v>45750</v>
      </c>
      <c r="C138" s="2">
        <f t="shared" si="2"/>
        <v>146</v>
      </c>
      <c r="D138">
        <v>137</v>
      </c>
      <c r="E138">
        <v>6.3</v>
      </c>
      <c r="F138">
        <v>13.75</v>
      </c>
      <c r="G138">
        <v>14.7</v>
      </c>
      <c r="H138">
        <v>39.9</v>
      </c>
      <c r="I138">
        <v>1069.04</v>
      </c>
      <c r="J138">
        <v>124.6</v>
      </c>
      <c r="K138">
        <v>44.26</v>
      </c>
      <c r="L138">
        <v>45.34</v>
      </c>
      <c r="M138">
        <v>22.6</v>
      </c>
    </row>
    <row r="139" spans="1:13" x14ac:dyDescent="0.35">
      <c r="A139" s="1">
        <v>45896</v>
      </c>
      <c r="B139" s="1">
        <v>45750</v>
      </c>
      <c r="C139" s="2">
        <f t="shared" si="2"/>
        <v>146</v>
      </c>
      <c r="D139">
        <v>138</v>
      </c>
      <c r="E139">
        <v>8.5</v>
      </c>
      <c r="F139">
        <v>22.22</v>
      </c>
      <c r="G139">
        <v>22.9</v>
      </c>
      <c r="H139">
        <v>48.2</v>
      </c>
      <c r="I139">
        <v>1030.44</v>
      </c>
      <c r="J139">
        <v>66.900000000000006</v>
      </c>
      <c r="K139">
        <v>42.06</v>
      </c>
      <c r="L139">
        <v>43.48</v>
      </c>
      <c r="M139">
        <v>21.65</v>
      </c>
    </row>
    <row r="140" spans="1:13" x14ac:dyDescent="0.35">
      <c r="A140" s="1">
        <v>45896</v>
      </c>
      <c r="B140" s="1">
        <v>45750</v>
      </c>
      <c r="C140" s="2">
        <f t="shared" si="2"/>
        <v>146</v>
      </c>
      <c r="D140">
        <v>139</v>
      </c>
      <c r="E140">
        <v>9</v>
      </c>
      <c r="F140">
        <v>18.53</v>
      </c>
      <c r="G140">
        <v>19.600000000000001</v>
      </c>
      <c r="H140">
        <v>41.7</v>
      </c>
      <c r="I140">
        <v>1057.74</v>
      </c>
      <c r="J140">
        <v>154.69999999999999</v>
      </c>
      <c r="K140">
        <v>42.25</v>
      </c>
      <c r="L140">
        <v>44.45</v>
      </c>
      <c r="M140">
        <v>22.04</v>
      </c>
    </row>
    <row r="141" spans="1:13" x14ac:dyDescent="0.35">
      <c r="A141" s="1">
        <v>45896</v>
      </c>
      <c r="B141" s="1">
        <v>45750</v>
      </c>
      <c r="C141" s="2">
        <f t="shared" si="2"/>
        <v>146</v>
      </c>
      <c r="D141">
        <v>140</v>
      </c>
      <c r="E141">
        <v>9.5</v>
      </c>
      <c r="F141">
        <v>12.18</v>
      </c>
      <c r="G141">
        <v>14</v>
      </c>
      <c r="H141">
        <v>37.200000000000003</v>
      </c>
      <c r="I141">
        <v>1149.01</v>
      </c>
      <c r="J141">
        <v>108.8</v>
      </c>
      <c r="K141">
        <v>42.01</v>
      </c>
      <c r="L141">
        <v>45.64</v>
      </c>
      <c r="M141">
        <v>22</v>
      </c>
    </row>
    <row r="142" spans="1:13" x14ac:dyDescent="0.35">
      <c r="A142" s="1">
        <v>45903</v>
      </c>
      <c r="B142" s="1">
        <v>45750</v>
      </c>
      <c r="C142" s="2">
        <f t="shared" si="2"/>
        <v>153</v>
      </c>
      <c r="D142">
        <v>141</v>
      </c>
      <c r="E142">
        <v>6.2</v>
      </c>
      <c r="F142">
        <v>20.23</v>
      </c>
      <c r="G142">
        <v>19.100000000000001</v>
      </c>
      <c r="H142">
        <v>45.2</v>
      </c>
      <c r="I142">
        <v>944.33199999999999</v>
      </c>
      <c r="J142">
        <v>147.69999999999999</v>
      </c>
      <c r="K142">
        <v>37.119999999999997</v>
      </c>
      <c r="L142">
        <v>45.42</v>
      </c>
      <c r="M142">
        <v>26.96</v>
      </c>
    </row>
    <row r="143" spans="1:13" x14ac:dyDescent="0.35">
      <c r="A143" s="1">
        <v>45903</v>
      </c>
      <c r="B143" s="1">
        <v>45750</v>
      </c>
      <c r="C143" s="2">
        <f t="shared" si="2"/>
        <v>153</v>
      </c>
      <c r="D143">
        <v>142</v>
      </c>
      <c r="E143">
        <v>9.4</v>
      </c>
      <c r="F143">
        <v>23.57</v>
      </c>
      <c r="G143">
        <v>22.8</v>
      </c>
      <c r="H143">
        <v>49.9</v>
      </c>
      <c r="I143">
        <v>967.26300000000003</v>
      </c>
      <c r="J143">
        <v>129.5</v>
      </c>
      <c r="K143">
        <v>42.29</v>
      </c>
      <c r="L143">
        <v>46.86</v>
      </c>
      <c r="M143">
        <v>25.52</v>
      </c>
    </row>
    <row r="144" spans="1:13" x14ac:dyDescent="0.35">
      <c r="A144" s="1">
        <v>45903</v>
      </c>
      <c r="B144" s="1">
        <v>45750</v>
      </c>
      <c r="C144" s="2">
        <f t="shared" si="2"/>
        <v>153</v>
      </c>
      <c r="D144">
        <v>143</v>
      </c>
      <c r="E144">
        <v>8.9</v>
      </c>
      <c r="F144">
        <v>29.93</v>
      </c>
      <c r="G144">
        <v>28.4</v>
      </c>
      <c r="H144">
        <v>50.2</v>
      </c>
      <c r="I144">
        <v>949.01499999999999</v>
      </c>
      <c r="J144">
        <v>126.7</v>
      </c>
      <c r="K144">
        <v>39.119999999999997</v>
      </c>
      <c r="L144">
        <v>46.19</v>
      </c>
      <c r="M144">
        <v>27.81</v>
      </c>
    </row>
    <row r="145" spans="1:13" x14ac:dyDescent="0.35">
      <c r="A145" s="1">
        <v>45903</v>
      </c>
      <c r="B145" s="1">
        <v>45750</v>
      </c>
      <c r="C145" s="2">
        <f t="shared" si="2"/>
        <v>153</v>
      </c>
      <c r="D145">
        <v>144</v>
      </c>
      <c r="E145">
        <v>9.9</v>
      </c>
      <c r="F145">
        <v>25.84</v>
      </c>
      <c r="G145">
        <v>26.3</v>
      </c>
      <c r="H145">
        <v>47.8</v>
      </c>
      <c r="I145">
        <v>1017.8</v>
      </c>
      <c r="J145">
        <v>131.9</v>
      </c>
      <c r="K145">
        <v>34.75</v>
      </c>
      <c r="L145">
        <v>41.16</v>
      </c>
      <c r="M145">
        <v>23.01</v>
      </c>
    </row>
    <row r="146" spans="1:13" x14ac:dyDescent="0.35">
      <c r="A146" s="1">
        <v>45903</v>
      </c>
      <c r="B146" s="1">
        <v>45750</v>
      </c>
      <c r="C146" s="2">
        <f t="shared" si="2"/>
        <v>153</v>
      </c>
      <c r="D146">
        <v>145</v>
      </c>
      <c r="E146">
        <v>7</v>
      </c>
      <c r="F146">
        <v>21.95</v>
      </c>
      <c r="G146">
        <v>21.5</v>
      </c>
      <c r="H146">
        <v>51.6</v>
      </c>
      <c r="I146">
        <v>979.71199999999999</v>
      </c>
      <c r="J146">
        <v>108.5</v>
      </c>
      <c r="K146">
        <v>43.69</v>
      </c>
      <c r="L146">
        <v>45.01</v>
      </c>
      <c r="M146">
        <v>24.21</v>
      </c>
    </row>
    <row r="147" spans="1:13" x14ac:dyDescent="0.35">
      <c r="A147" s="1">
        <v>45903</v>
      </c>
      <c r="B147" s="1">
        <v>45750</v>
      </c>
      <c r="C147" s="2">
        <f t="shared" si="2"/>
        <v>153</v>
      </c>
      <c r="D147">
        <v>146</v>
      </c>
      <c r="E147">
        <v>6.3</v>
      </c>
      <c r="F147">
        <v>12.86</v>
      </c>
      <c r="G147">
        <v>15</v>
      </c>
      <c r="H147">
        <v>36.1</v>
      </c>
      <c r="I147">
        <v>1166.19</v>
      </c>
      <c r="J147">
        <v>117</v>
      </c>
      <c r="K147">
        <v>40.67</v>
      </c>
      <c r="L147">
        <v>44.33</v>
      </c>
      <c r="M147">
        <v>24</v>
      </c>
    </row>
    <row r="148" spans="1:13" x14ac:dyDescent="0.35">
      <c r="A148" s="1">
        <v>45910</v>
      </c>
      <c r="B148" s="1">
        <v>45750</v>
      </c>
      <c r="C148" s="2">
        <f t="shared" si="2"/>
        <v>160</v>
      </c>
      <c r="D148">
        <v>147</v>
      </c>
      <c r="E148">
        <v>7.4</v>
      </c>
      <c r="F148">
        <v>17.920000000000002</v>
      </c>
      <c r="G148">
        <v>18.100000000000001</v>
      </c>
      <c r="H148">
        <v>42.5</v>
      </c>
      <c r="I148">
        <v>1010.24</v>
      </c>
      <c r="J148">
        <v>120.2</v>
      </c>
      <c r="K148">
        <v>40.11</v>
      </c>
      <c r="L148">
        <v>46</v>
      </c>
      <c r="M148">
        <v>23.24</v>
      </c>
    </row>
    <row r="149" spans="1:13" x14ac:dyDescent="0.35">
      <c r="A149" s="1">
        <v>45910</v>
      </c>
      <c r="B149" s="1">
        <v>45750</v>
      </c>
      <c r="C149" s="2">
        <f t="shared" si="2"/>
        <v>160</v>
      </c>
      <c r="D149">
        <v>148</v>
      </c>
      <c r="E149">
        <v>10.1</v>
      </c>
      <c r="F149">
        <v>23.84</v>
      </c>
      <c r="G149">
        <v>23.1</v>
      </c>
      <c r="H149">
        <v>47.8</v>
      </c>
      <c r="I149">
        <v>969.03800000000001</v>
      </c>
      <c r="J149">
        <v>180</v>
      </c>
      <c r="K149">
        <v>39.840000000000003</v>
      </c>
      <c r="L149">
        <v>43.48</v>
      </c>
      <c r="M149">
        <v>20.94</v>
      </c>
    </row>
    <row r="150" spans="1:13" x14ac:dyDescent="0.35">
      <c r="A150" s="1">
        <v>45910</v>
      </c>
      <c r="B150" s="1">
        <v>45750</v>
      </c>
      <c r="C150" s="2">
        <f t="shared" si="2"/>
        <v>160</v>
      </c>
      <c r="D150">
        <v>149</v>
      </c>
      <c r="E150">
        <v>6.7</v>
      </c>
      <c r="F150">
        <v>17.82</v>
      </c>
      <c r="G150">
        <v>18.899999999999999</v>
      </c>
      <c r="H150">
        <v>40.299999999999997</v>
      </c>
      <c r="I150">
        <v>1060.3599999999999</v>
      </c>
      <c r="J150">
        <v>51.5</v>
      </c>
      <c r="K150">
        <v>37.32</v>
      </c>
      <c r="L150">
        <v>39.380000000000003</v>
      </c>
      <c r="M150">
        <v>17.04</v>
      </c>
    </row>
    <row r="151" spans="1:13" x14ac:dyDescent="0.35">
      <c r="A151" s="1">
        <v>45910</v>
      </c>
      <c r="B151" s="1">
        <v>45750</v>
      </c>
      <c r="C151" s="2">
        <f t="shared" si="2"/>
        <v>160</v>
      </c>
      <c r="D151">
        <v>150</v>
      </c>
      <c r="E151">
        <v>5.0999999999999996</v>
      </c>
      <c r="F151">
        <v>22.12</v>
      </c>
      <c r="G151">
        <v>21</v>
      </c>
      <c r="H151">
        <v>49.5</v>
      </c>
      <c r="I151">
        <v>949.49099999999999</v>
      </c>
      <c r="J151">
        <v>134.4</v>
      </c>
      <c r="K151">
        <v>39.159999999999997</v>
      </c>
      <c r="L151">
        <v>44.2</v>
      </c>
      <c r="M151">
        <v>23.58</v>
      </c>
    </row>
    <row r="152" spans="1:13" x14ac:dyDescent="0.35">
      <c r="A152" s="1">
        <v>45910</v>
      </c>
      <c r="B152" s="1">
        <v>45750</v>
      </c>
      <c r="C152" s="2">
        <f t="shared" si="2"/>
        <v>160</v>
      </c>
      <c r="D152">
        <v>151</v>
      </c>
      <c r="E152">
        <v>6.8</v>
      </c>
      <c r="F152">
        <v>20.07</v>
      </c>
      <c r="G152">
        <v>21.5</v>
      </c>
      <c r="H152">
        <v>44.5</v>
      </c>
      <c r="I152">
        <v>1071.32</v>
      </c>
      <c r="J152">
        <v>87.1</v>
      </c>
      <c r="K152">
        <v>39.159999999999997</v>
      </c>
      <c r="L152">
        <v>43.77</v>
      </c>
      <c r="M152">
        <v>21.61</v>
      </c>
    </row>
    <row r="153" spans="1:13" x14ac:dyDescent="0.35">
      <c r="A153" s="1">
        <v>45910</v>
      </c>
      <c r="B153" s="1">
        <v>45750</v>
      </c>
      <c r="C153" s="2">
        <f t="shared" si="2"/>
        <v>160</v>
      </c>
      <c r="D153">
        <v>152</v>
      </c>
      <c r="E153">
        <v>4.4000000000000004</v>
      </c>
      <c r="F153">
        <v>12.64</v>
      </c>
      <c r="G153">
        <v>13.6</v>
      </c>
      <c r="H153">
        <v>39.9</v>
      </c>
      <c r="I153">
        <v>1075.68</v>
      </c>
      <c r="J153">
        <v>96.2</v>
      </c>
      <c r="K153">
        <v>37.07</v>
      </c>
      <c r="L153">
        <v>41.7</v>
      </c>
      <c r="M153">
        <v>18.41</v>
      </c>
    </row>
  </sheetData>
  <conditionalFormatting sqref="E2:E153">
    <cfRule type="cellIs" dxfId="2" priority="3" operator="greaterThan">
      <formula>7</formula>
    </cfRule>
  </conditionalFormatting>
  <conditionalFormatting sqref="I2:I51">
    <cfRule type="cellIs" dxfId="1" priority="2" operator="greaterThan">
      <formula>1100</formula>
    </cfRule>
  </conditionalFormatting>
  <conditionalFormatting sqref="I112:I153">
    <cfRule type="cellIs" dxfId="0" priority="1" operator="greaterThan">
      <formula>1100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IoT local admin</dc:creator>
  <cp:lastModifiedBy>IoT local admin</cp:lastModifiedBy>
  <dcterms:created xsi:type="dcterms:W3CDTF">2015-06-05T18:17:20Z</dcterms:created>
  <dcterms:modified xsi:type="dcterms:W3CDTF">2026-03-03T11:54:24Z</dcterms:modified>
</cp:coreProperties>
</file>